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Dashboard Mensual" sheetId="1" state="visible" r:id="rId3"/>
    <sheet name="Parámetros" sheetId="2" state="visible" r:id="rId4"/>
    <sheet name="Caja Diaria" sheetId="3" state="visible" r:id="rId5"/>
    <sheet name="Sesiones" sheetId="4" state="visible" r:id="rId6"/>
    <sheet name="Resumen Diario" sheetId="5" state="visible" r:id="rId7"/>
    <sheet name="Membresías &amp; Combos" sheetId="6" state="visible" r:id="rId8"/>
    <sheet name="Gastos del Mes" sheetId="7" state="visible" r:id="rId9"/>
    <sheet name="Formas de Pago" sheetId="8" state="visible" r:id="rId10"/>
    <sheet name="Empleados" sheetId="9" state="visible" r:id="rId11"/>
    <sheet name="Gastos Varios" sheetId="10" state="visible" r:id="rId12"/>
    <sheet name="Consultas (Split)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<sst xmlns="http://schemas.openxmlformats.org/spreadsheetml/2006/main" count="382" uniqueCount="245">
  <si>
    <t xml:space="preserve">Resumen del mes para Andrés y socios · se actualiza solo</t>
  </si>
  <si>
    <t xml:space="preserve">INGRESOS WELLNESS (ARS)</t>
  </si>
  <si>
    <t xml:space="preserve">INGRESOS (USD)</t>
  </si>
  <si>
    <t xml:space="preserve">RESULTADO TOTAL (ARS)</t>
  </si>
  <si>
    <t xml:space="preserve">MARGEN</t>
  </si>
  <si>
    <t xml:space="preserve">MRR MEMBRESÍAS (USD)</t>
  </si>
  <si>
    <t xml:space="preserve">OCUPACIÓN PROM.</t>
  </si>
  <si>
    <t xml:space="preserve">Estado de Resultados del mes (para socios)</t>
  </si>
  <si>
    <t xml:space="preserve">Mix de ingresos por línea</t>
  </si>
  <si>
    <t xml:space="preserve">Concepto</t>
  </si>
  <si>
    <t xml:space="preserve">ARS</t>
  </si>
  <si>
    <t xml:space="preserve">USD</t>
  </si>
  <si>
    <t xml:space="preserve">Línea</t>
  </si>
  <si>
    <t xml:space="preserve">% del total</t>
  </si>
  <si>
    <t xml:space="preserve">Membresías</t>
  </si>
  <si>
    <t xml:space="preserve">Sueltas &amp; Combos</t>
  </si>
  <si>
    <t xml:space="preserve">Paquetes</t>
  </si>
  <si>
    <t xml:space="preserve">IV + Terapias Biológicas</t>
  </si>
  <si>
    <t xml:space="preserve">Otros</t>
  </si>
  <si>
    <t xml:space="preserve">INGRESOS WELLNESS (cobrado)</t>
  </si>
  <si>
    <t xml:space="preserve">TOTAL</t>
  </si>
  <si>
    <t xml:space="preserve">(–) Gastos operativos del mes</t>
  </si>
  <si>
    <t xml:space="preserve">(–) Egresos de caja chica</t>
  </si>
  <si>
    <t xml:space="preserve">RESULTADO WELLNESS (EBITDA)</t>
  </si>
  <si>
    <t xml:space="preserve">(+) Bar — resultado neto (manual)</t>
  </si>
  <si>
    <t xml:space="preserve">RESULTADO TOTAL DEL NEGOCIO</t>
  </si>
  <si>
    <t xml:space="preserve">Margen operativo (wellness)</t>
  </si>
  <si>
    <t xml:space="preserve">Utilización por recurso (mes)</t>
  </si>
  <si>
    <t xml:space="preserve">Recurso</t>
  </si>
  <si>
    <t xml:space="preserve">Sesiones</t>
  </si>
  <si>
    <t xml:space="preserve">% utilización</t>
  </si>
  <si>
    <t xml:space="preserve">HBOT Monoplaza</t>
  </si>
  <si>
    <t xml:space="preserve">HBOT Biplaza</t>
  </si>
  <si>
    <t xml:space="preserve">HBOT Multiplaza</t>
  </si>
  <si>
    <t xml:space="preserve">IHHT 1</t>
  </si>
  <si>
    <t xml:space="preserve">IHHT 2</t>
  </si>
  <si>
    <t xml:space="preserve">Recovery Pro Gab 1</t>
  </si>
  <si>
    <t xml:space="preserve">Recovery Pro Gab 2</t>
  </si>
  <si>
    <t xml:space="preserve">Red Light</t>
  </si>
  <si>
    <t xml:space="preserve">Compresión (IPC06)</t>
  </si>
  <si>
    <t xml:space="preserve">Crio (COT03)</t>
  </si>
  <si>
    <t xml:space="preserve">Camilla masajes</t>
  </si>
  <si>
    <t xml:space="preserve">Consultorio médico</t>
  </si>
  <si>
    <t xml:space="preserve">Sala TB / IV</t>
  </si>
  <si>
    <t xml:space="preserve">Distribución del resultado por socio</t>
  </si>
  <si>
    <t xml:space="preserve">Referencia: reparto bruto del resultado total. No descuenta reservas/CAPEX. Validar con Andrés.</t>
  </si>
  <si>
    <t xml:space="preserve">Socio</t>
  </si>
  <si>
    <t xml:space="preserve">%</t>
  </si>
  <si>
    <t xml:space="preserve">Parte (ARS)</t>
  </si>
  <si>
    <t xml:space="preserve">Andrés Aizenberg</t>
  </si>
  <si>
    <t xml:space="preserve">Diego</t>
  </si>
  <si>
    <t xml:space="preserve">Daniel Tognetti</t>
  </si>
  <si>
    <t xml:space="preserve">Evangelina Varela</t>
  </si>
  <si>
    <t xml:space="preserve">Julián Massetti</t>
  </si>
  <si>
    <t xml:space="preserve">Fernando Aldazabal</t>
  </si>
  <si>
    <t xml:space="preserve">Diego Sívori</t>
  </si>
  <si>
    <t xml:space="preserve">Comparativo vs. mes anterior</t>
  </si>
  <si>
    <t xml:space="preserve">Ingresos mes anterior (ARS) →</t>
  </si>
  <si>
    <t xml:space="preserve">Variación de ingresos</t>
  </si>
  <si>
    <t xml:space="preserve">Análisis automático del mes</t>
  </si>
  <si>
    <t xml:space="preserve">Formas de pago del mes</t>
  </si>
  <si>
    <t xml:space="preserve">Detalle diario y anual: ver pestaña 'Formas de Pago'.</t>
  </si>
  <si>
    <t xml:space="preserve">Método</t>
  </si>
  <si>
    <t xml:space="preserve">Monto ARS</t>
  </si>
  <si>
    <t xml:space="preserve">Efectivo</t>
  </si>
  <si>
    <t xml:space="preserve">Tarjeta débito</t>
  </si>
  <si>
    <t xml:space="preserve">Tarjeta crédito</t>
  </si>
  <si>
    <t xml:space="preserve">Transferencia</t>
  </si>
  <si>
    <t xml:space="preserve">MercadoPago</t>
  </si>
  <si>
    <t xml:space="preserve">BIOWELLNESS — Tablero de Gestión Mensual</t>
  </si>
  <si>
    <t xml:space="preserve">LISTAS (no tocar)</t>
  </si>
  <si>
    <t xml:space="preserve">Parámetros · editá solo las celdas en AZUL / fondo amarillo</t>
  </si>
  <si>
    <t xml:space="preserve">Insumos menores</t>
  </si>
  <si>
    <t xml:space="preserve">Ingreso</t>
  </si>
  <si>
    <t xml:space="preserve">Limpieza</t>
  </si>
  <si>
    <t xml:space="preserve">Egreso</t>
  </si>
  <si>
    <t xml:space="preserve">General</t>
  </si>
  <si>
    <t xml:space="preserve">Viáticos</t>
  </si>
  <si>
    <t xml:space="preserve">Mes</t>
  </si>
  <si>
    <t xml:space="preserve">Agosto 2026</t>
  </si>
  <si>
    <t xml:space="preserve">Mantenimiento menor</t>
  </si>
  <si>
    <t xml:space="preserve">Año</t>
  </si>
  <si>
    <t xml:space="preserve">Varios</t>
  </si>
  <si>
    <t xml:space="preserve">Mes (número)</t>
  </si>
  <si>
    <t xml:space="preserve">1=Ene ... 12=Dic</t>
  </si>
  <si>
    <t xml:space="preserve">Tipo de cambio (ARS por USD)</t>
  </si>
  <si>
    <t xml:space="preserve">Editable cada mes</t>
  </si>
  <si>
    <t xml:space="preserve">Días operativos del mes</t>
  </si>
  <si>
    <t xml:space="preserve">Horas operativas por día</t>
  </si>
  <si>
    <t xml:space="preserve">Ej. 9:00-21:00</t>
  </si>
  <si>
    <t xml:space="preserve">Saldo inicial caja chica (ARS)</t>
  </si>
  <si>
    <t xml:space="preserve">Efectivo físico al arrancar el mes</t>
  </si>
  <si>
    <t xml:space="preserve">Recursos físicos y capacidad</t>
  </si>
  <si>
    <t xml:space="preserve">(Slots/día y capacidad se calculan solos)</t>
  </si>
  <si>
    <t xml:space="preserve">Duración (min)</t>
  </si>
  <si>
    <t xml:space="preserve">Slots / día</t>
  </si>
  <si>
    <t xml:space="preserve">Capacidad mensual</t>
  </si>
  <si>
    <t xml:space="preserve">Nota: Recovery Pro Gab 1 y 2 comparten 2 tumbonas Red Light (Regla R-07). Ajustá Slots/día si hace falta.</t>
  </si>
  <si>
    <t xml:space="preserve">Caja Diaria — ingresos cobrados y egresos de caja chica</t>
  </si>
  <si>
    <t xml:space="preserve">Una fila por movimiento de plata. El Bar NO va acá (es unidad aparte). USD se calcula solo.</t>
  </si>
  <si>
    <t xml:space="preserve">Fecha</t>
  </si>
  <si>
    <t xml:space="preserve">Tipo</t>
  </si>
  <si>
    <t xml:space="preserve">Línea / Categoría</t>
  </si>
  <si>
    <t xml:space="preserve">Detalle</t>
  </si>
  <si>
    <t xml:space="preserve">Método de pago</t>
  </si>
  <si>
    <t xml:space="preserve">Monto USD</t>
  </si>
  <si>
    <t xml:space="preserve">PRIME Standard - J. Perez</t>
  </si>
  <si>
    <t xml:space="preserve">BIO RECOVERY - M. Gomez</t>
  </si>
  <si>
    <t xml:space="preserve">IV NAD+ - L. Ruiz</t>
  </si>
  <si>
    <t xml:space="preserve">Cánulas y guantes</t>
  </si>
  <si>
    <t xml:space="preserve">Paquete 10 HBOT - A. Diaz</t>
  </si>
  <si>
    <t xml:space="preserve">BIO ENERGY - S. Mora</t>
  </si>
  <si>
    <t xml:space="preserve">Artículos de limpieza</t>
  </si>
  <si>
    <t xml:space="preserve">Sesiones realizadas — uso de recursos (ocupación)</t>
  </si>
  <si>
    <t xml:space="preserve">Una fila por sesión realizada (la pague socio o no). Mide ocupación, no plata.</t>
  </si>
  <si>
    <t xml:space="preserve">Servicio / Combo</t>
  </si>
  <si>
    <t xml:space="preserve">Ocupantes</t>
  </si>
  <si>
    <t xml:space="preserve">¿Socio?</t>
  </si>
  <si>
    <t xml:space="preserve">Paciente</t>
  </si>
  <si>
    <t xml:space="preserve">BIO RECOVERY</t>
  </si>
  <si>
    <t xml:space="preserve">No</t>
  </si>
  <si>
    <t xml:space="preserve">M. Gomez</t>
  </si>
  <si>
    <t xml:space="preserve">IV NAD+</t>
  </si>
  <si>
    <t xml:space="preserve">L. Ruiz</t>
  </si>
  <si>
    <t xml:space="preserve">FOCUS Standard</t>
  </si>
  <si>
    <t xml:space="preserve">Sí</t>
  </si>
  <si>
    <t xml:space="preserve">J. Perez</t>
  </si>
  <si>
    <t xml:space="preserve">Suelta</t>
  </si>
  <si>
    <t xml:space="preserve">Grupo corp.</t>
  </si>
  <si>
    <t xml:space="preserve">BIO ENERGY</t>
  </si>
  <si>
    <t xml:space="preserve">S. Mora</t>
  </si>
  <si>
    <t xml:space="preserve">Resumen Diario — cierre de caja y % de utilización por recurso</t>
  </si>
  <si>
    <t xml:space="preserve">Se llena solo. 'Saldo acum. mes' = lo que generó el negocio en el mes hasta ese día. 'Saldo efectivo caja' = efectivo físico real (entra cash, sale caja chica).</t>
  </si>
  <si>
    <t xml:space="preserve">Día</t>
  </si>
  <si>
    <t xml:space="preserve">Ingresos ARS</t>
  </si>
  <si>
    <t xml:space="preserve">Egresos ARS</t>
  </si>
  <si>
    <t xml:space="preserve">Saldo del día</t>
  </si>
  <si>
    <t xml:space="preserve">Saldo acum. mes</t>
  </si>
  <si>
    <t xml:space="preserve">Saldo efectivo caja</t>
  </si>
  <si>
    <t xml:space="preserve">Ingresos USD</t>
  </si>
  <si>
    <t xml:space="preserve">TOTAL / Prom.</t>
  </si>
  <si>
    <t xml:space="preserve">Membresías activas, MRR y Combos</t>
  </si>
  <si>
    <t xml:space="preserve">Cargá socios activos por plan (azul). MRR = plata fija mensual de membresías. Combos vendidos: cargá la cantidad.</t>
  </si>
  <si>
    <t xml:space="preserve">Plan</t>
  </si>
  <si>
    <t xml:space="preserve">Socios activos</t>
  </si>
  <si>
    <t xml:space="preserve">Precio USD/mes</t>
  </si>
  <si>
    <t xml:space="preserve">MRR USD</t>
  </si>
  <si>
    <t xml:space="preserve">FOCUS Intensivo</t>
  </si>
  <si>
    <t xml:space="preserve">PRIME Std Individual</t>
  </si>
  <si>
    <t xml:space="preserve">PRIME Int Individual</t>
  </si>
  <si>
    <t xml:space="preserve">PRIME Std Pareja</t>
  </si>
  <si>
    <t xml:space="preserve">PRIME Int Pareja</t>
  </si>
  <si>
    <t xml:space="preserve">HEALTHSPAN Std Individual</t>
  </si>
  <si>
    <t xml:space="preserve">HEALTHSPAN Int Individual</t>
  </si>
  <si>
    <t xml:space="preserve">HEALTHSPAN Std Pareja</t>
  </si>
  <si>
    <t xml:space="preserve">HEALTHSPAN Int Pareja</t>
  </si>
  <si>
    <t xml:space="preserve">TOTAL / MRR</t>
  </si>
  <si>
    <t xml:space="preserve">MRR en ARS</t>
  </si>
  <si>
    <t xml:space="preserve">Combos vendidos en el mes</t>
  </si>
  <si>
    <t xml:space="preserve">Combo</t>
  </si>
  <si>
    <t xml:space="preserve">Vendidos</t>
  </si>
  <si>
    <t xml:space="preserve">Precio USD</t>
  </si>
  <si>
    <t xml:space="preserve">Ingreso USD</t>
  </si>
  <si>
    <t xml:space="preserve">BIO COMPRESS</t>
  </si>
  <si>
    <t xml:space="preserve">BIO CRYO</t>
  </si>
  <si>
    <t xml:space="preserve">BIO RECOVERY Ind</t>
  </si>
  <si>
    <t xml:space="preserve">BIO LONGEVITY Ind</t>
  </si>
  <si>
    <t xml:space="preserve">TOTAL combos</t>
  </si>
  <si>
    <t xml:space="preserve">Nota: 'Combos vendidos' se carga a mano por ahora; el sistema definitivo lo cuenta solo.</t>
  </si>
  <si>
    <t xml:space="preserve">Gastos Operativos del Mes</t>
  </si>
  <si>
    <t xml:space="preserve">Gastos del mes en ARS (azul). No incluye la caja chica diaria ni el Bar.</t>
  </si>
  <si>
    <t xml:space="preserve">Nota</t>
  </si>
  <si>
    <t xml:space="preserve">Sueldos + cargas sociales (27%)</t>
  </si>
  <si>
    <t xml:space="preserve">← desde hoja Empleados</t>
  </si>
  <si>
    <t xml:space="preserve">Honorario Dr. Conrado (fijo)</t>
  </si>
  <si>
    <t xml:space="preserve">Honorarios médicos prescriptores (15% IV+TB)</t>
  </si>
  <si>
    <t xml:space="preserve">Auto desde IV+TB en el sistema</t>
  </si>
  <si>
    <t xml:space="preserve">% s/ IV+TB cobrado (editable) — VALIDAR base</t>
  </si>
  <si>
    <t xml:space="preserve">Costo insumos Regenerar (IV+TB)</t>
  </si>
  <si>
    <t xml:space="preserve">Variable s/ sesiones TB</t>
  </si>
  <si>
    <t xml:space="preserve">% costo insumos s/ IV+TB (editable) — VALIDAR</t>
  </si>
  <si>
    <t xml:space="preserve">Alquiler local</t>
  </si>
  <si>
    <t xml:space="preserve">Desde Año 2</t>
  </si>
  <si>
    <t xml:space="preserve">Estacionamiento</t>
  </si>
  <si>
    <t xml:space="preserve">Electricidad / Gas</t>
  </si>
  <si>
    <t xml:space="preserve">Internet / Software</t>
  </si>
  <si>
    <t xml:space="preserve">Seguros</t>
  </si>
  <si>
    <t xml:space="preserve">Mantenimiento</t>
  </si>
  <si>
    <t xml:space="preserve">Marketing</t>
  </si>
  <si>
    <t xml:space="preserve">Insumos médicos (stock)</t>
  </si>
  <si>
    <t xml:space="preserve">Contaduría / Legal</t>
  </si>
  <si>
    <t xml:space="preserve">Comisiones MercadoPago / POS</t>
  </si>
  <si>
    <t xml:space="preserve">~1,5% ingresos digitales</t>
  </si>
  <si>
    <t xml:space="preserve">IIBB (3%)</t>
  </si>
  <si>
    <t xml:space="preserve">Sobre ingresos netos</t>
  </si>
  <si>
    <t xml:space="preserve">Lavandería</t>
  </si>
  <si>
    <t xml:space="preserve">Gastos varios</t>
  </si>
  <si>
    <t xml:space="preserve">← desde hoja Gastos Varios</t>
  </si>
  <si>
    <t xml:space="preserve">TOTAL GASTOS OPERATIVOS</t>
  </si>
  <si>
    <t xml:space="preserve">Formas de Pago de los clientes</t>
  </si>
  <si>
    <t xml:space="preserve">Se llena solo desde Caja Diaria. Muestra cuánto y qué % cobrás por cada medio.</t>
  </si>
  <si>
    <t xml:space="preserve">Resumen del mes</t>
  </si>
  <si>
    <t xml:space="preserve">Detalle diario (montos por método, ARS)</t>
  </si>
  <si>
    <t xml:space="preserve">Total día</t>
  </si>
  <si>
    <t xml:space="preserve">% Efectivo</t>
  </si>
  <si>
    <t xml:space="preserve">Empleados — sueldos y cargas sociales</t>
  </si>
  <si>
    <t xml:space="preserve">Cargá el sueldo bruto de cada uno (azul). Las cargas y el total se calculan. El TOTAL alimenta 'Gastos del Mes'.</t>
  </si>
  <si>
    <t xml:space="preserve">% Cargas sociales</t>
  </si>
  <si>
    <t xml:space="preserve">Editable (default 27%)</t>
  </si>
  <si>
    <t xml:space="preserve">Empleado</t>
  </si>
  <si>
    <t xml:space="preserve">Sueldo bruto ARS</t>
  </si>
  <si>
    <t xml:space="preserve">Cargas sociales</t>
  </si>
  <si>
    <t xml:space="preserve">Total ARS</t>
  </si>
  <si>
    <t xml:space="preserve">Recepción 1</t>
  </si>
  <si>
    <t xml:space="preserve">Recepción 2</t>
  </si>
  <si>
    <t xml:space="preserve">Enfermero/a</t>
  </si>
  <si>
    <t xml:space="preserve">Técnico/a 1</t>
  </si>
  <si>
    <t xml:space="preserve">Técnico/a 2</t>
  </si>
  <si>
    <t xml:space="preserve">Coordinador/a operativo/a</t>
  </si>
  <si>
    <t xml:space="preserve">Marketing in-house</t>
  </si>
  <si>
    <t xml:space="preserve">(libre)</t>
  </si>
  <si>
    <t xml:space="preserve">TOTAL (sueldos + cargas)</t>
  </si>
  <si>
    <t xml:space="preserve">Nota: el personal del Bar NO va acá (el Bar es unidad aparte, se carga su neto en el Dashboard).</t>
  </si>
  <si>
    <t xml:space="preserve">Gastos Varios — detalle</t>
  </si>
  <si>
    <t xml:space="preserve">Volcá acá cada gasto vario. El TOTAL alimenta 'Gastos del Mes'.</t>
  </si>
  <si>
    <t xml:space="preserve">TOTAL GASTOS VARIOS</t>
  </si>
  <si>
    <t xml:space="preserve">Consultas médicas y nutrición — split de ingresos</t>
  </si>
  <si>
    <t xml:space="preserve">Cargá cantidad y precio (azul). Calcula el reparto. El neto BW es lo que le queda a Biowellness.</t>
  </si>
  <si>
    <t xml:space="preserve">Consultas médicas — split 70% médico / 30% BW</t>
  </si>
  <si>
    <t xml:space="preserve">Cantidad</t>
  </si>
  <si>
    <t xml:space="preserve">Precio ARS</t>
  </si>
  <si>
    <t xml:space="preserve">Ingreso bruto</t>
  </si>
  <si>
    <t xml:space="preserve">Médicos (70%)</t>
  </si>
  <si>
    <t xml:space="preserve">BW (30%)</t>
  </si>
  <si>
    <t xml:space="preserve">Consultas médicas</t>
  </si>
  <si>
    <t xml:space="preserve">Consultas nutrición — 50% nutri / 20% Diego Sívori / 30% BW</t>
  </si>
  <si>
    <t xml:space="preserve">Nutri (50%)</t>
  </si>
  <si>
    <t xml:space="preserve">Sívori (20%)</t>
  </si>
  <si>
    <t xml:space="preserve">Consultas nutrición</t>
  </si>
  <si>
    <t xml:space="preserve">Resumen</t>
  </si>
  <si>
    <t xml:space="preserve">Neto BW total consultas</t>
  </si>
  <si>
    <t xml:space="preserve">Payout médicos</t>
  </si>
  <si>
    <t xml:space="preserve">Payout nutricionista</t>
  </si>
  <si>
    <t xml:space="preserve">Payout Diego Sívori</t>
  </si>
  <si>
    <t xml:space="preserve">PENDIENTE (definir con Andrés): en qué línea del estado de resultados impacta el 'Neto BW de consultas'. Por ahora esta hoja calcula los splits pero NO está conectada al Dashboard. Avisame y lo enchufo (línea propia o dentro de 'Otros').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</si>
</sst>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%"/>
    <numFmt numFmtId="168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6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1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4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ES" sz="1800" b="1" u="none" strike="noStrike">
                <a:solidFill>
                  <a:srgbClr val="000000"/>
                </a:solidFill>
                <a:uFillTx/>
                <a:latin typeface="Calibri"/>
              </a:rPr>
              <a:t>Mix de ingresos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'Dashboard Mensual'!$H$10:$H$14</c:f>
              <c:strCache>
                <c:ptCount val="5"/>
                <c:pt idx="0">
                  <c:v>Membresías</c:v>
                </c:pt>
                <c:pt idx="1">
                  <c:v>Sueltas &amp; Combos</c:v>
                </c:pt>
                <c:pt idx="2">
                  <c:v>Paquetes</c:v>
                </c:pt>
                <c:pt idx="3">
                  <c:v>IV + Terapias Biológicas</c:v>
                </c:pt>
                <c:pt idx="4">
                  <c:v>Otros</c:v>
                </c:pt>
              </c:strCache>
            </c:strRef>
          </c:cat>
          <c:val>
            <c:numRef>
              <c:f>'Dashboard Mensual'!$I$10:$I$14</c:f>
              <c:numCache>
                <c:formatCode>#,##0;\(#,##0\);\-</c:formatCode>
                <c:ptCount val="5"/>
                <c:pt idx="0">
                  <c:v>2628000</c:v>
                </c:pt>
                <c:pt idx="1">
                  <c:v>606000</c:v>
                </c:pt>
                <c:pt idx="2">
                  <c:v>2227500</c:v>
                </c:pt>
                <c:pt idx="3">
                  <c:v>375000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ES" sz="1800" b="1" u="none" strike="noStrike">
                <a:solidFill>
                  <a:srgbClr val="000000"/>
                </a:solidFill>
                <a:uFillTx/>
                <a:latin typeface="Calibri"/>
              </a:rPr>
              <a:t>% utilización por recurso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Mensual'!$B$28:$B$40</c:f>
              <c:strCache>
                <c:ptCount val="13"/>
                <c:pt idx="0">
                  <c:v>HBOT Monoplaza</c:v>
                </c:pt>
                <c:pt idx="1">
                  <c:v>HBOT Biplaza</c:v>
                </c:pt>
                <c:pt idx="2">
                  <c:v>HBOT Multiplaza</c:v>
                </c:pt>
                <c:pt idx="3">
                  <c:v>IHHT 1</c:v>
                </c:pt>
                <c:pt idx="4">
                  <c:v>IHHT 2</c:v>
                </c:pt>
                <c:pt idx="5">
                  <c:v>Recovery Pro Gab 1</c:v>
                </c:pt>
                <c:pt idx="6">
                  <c:v>Recovery Pro Gab 2</c:v>
                </c:pt>
                <c:pt idx="7">
                  <c:v>Red Light</c:v>
                </c:pt>
                <c:pt idx="8">
                  <c:v>Compresión (IPC06)</c:v>
                </c:pt>
                <c:pt idx="9">
                  <c:v>Crio (COT03)</c:v>
                </c:pt>
                <c:pt idx="10">
                  <c:v>Camilla masajes</c:v>
                </c:pt>
                <c:pt idx="11">
                  <c:v>Consultorio médico</c:v>
                </c:pt>
                <c:pt idx="12">
                  <c:v>Sala TB / IV</c:v>
                </c:pt>
              </c:strCache>
            </c:strRef>
          </c:cat>
          <c:val>
            <c:numRef>
              <c:f>'Dashboard Mensual'!$D$28:$D$40</c:f>
              <c:numCache>
                <c:formatCode>0.0%;\(0.0%\);\-</c:formatCode>
                <c:ptCount val="13"/>
                <c:pt idx="0">
                  <c:v>0.00666666666666667</c:v>
                </c:pt>
                <c:pt idx="1">
                  <c:v>0</c:v>
                </c:pt>
                <c:pt idx="2">
                  <c:v>0.00333333333333333</c:v>
                </c:pt>
                <c:pt idx="3">
                  <c:v>0.00166666666666667</c:v>
                </c:pt>
                <c:pt idx="4">
                  <c:v>0.00166666666666667</c:v>
                </c:pt>
                <c:pt idx="5">
                  <c:v>0.00333333333333333</c:v>
                </c:pt>
                <c:pt idx="6">
                  <c:v>0</c:v>
                </c:pt>
                <c:pt idx="7">
                  <c:v>0.00166666666666667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0.00333333333333333</c:v>
                </c:pt>
              </c:numCache>
            </c:numRef>
          </c:val>
        </c:ser>
        <c:gapWidth val="150"/>
        <c:overlap val="0"/>
        <c:axId val="64136470"/>
        <c:axId val="97718348"/>
      </c:barChart>
      <c:catAx>
        <c:axId val="641364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718348"/>
        <c:crosses val="autoZero"/>
        <c:auto val="1"/>
        <c:lblAlgn val="ctr"/>
        <c:lblOffset val="100"/>
        <c:noMultiLvlLbl val="0"/>
      </c:catAx>
      <c:valAx>
        <c:axId val="97718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1364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Formas de pago (mes)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'Formas de Pago'!$B$6:$B$10</c:f>
              <c:strCache>
                <c:ptCount val="5"/>
                <c:pt idx="0">
                  <c:v>Efectivo</c:v>
                </c:pt>
                <c:pt idx="1">
                  <c:v>Tarjeta débito</c:v>
                </c:pt>
                <c:pt idx="2">
                  <c:v>Tarjeta crédito</c:v>
                </c:pt>
                <c:pt idx="3">
                  <c:v>Transferencia</c:v>
                </c:pt>
                <c:pt idx="4">
                  <c:v>MercadoPago</c:v>
                </c:pt>
              </c:strCache>
            </c:strRef>
          </c:cat>
          <c:val>
            <c:numRef>
              <c:f>'Formas de Pago'!$C$6:$C$10</c:f>
              <c:numCache>
                <c:formatCode>#,##0;\(#,##0\);\-</c:formatCode>
                <c:ptCount val="5"/>
                <c:pt idx="0">
                  <c:v>543000</c:v>
                </c:pt>
                <c:pt idx="1">
                  <c:v>0</c:v>
                </c:pt>
                <c:pt idx="2">
                  <c:v>2665500</c:v>
                </c:pt>
                <c:pt idx="3">
                  <c:v>0</c:v>
                </c:pt>
                <c:pt idx="4">
                  <c:v>2628000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16</xdr:row>
      <xdr:rowOff>0</xdr:rowOff>
    </xdr:from>
    <xdr:to>
      <xdr:col>10</xdr:col>
      <xdr:colOff>489600</xdr:colOff>
      <xdr:row>28</xdr:row>
      <xdr:rowOff>52560</xdr:rowOff>
    </xdr:to>
    <xdr:graphicFrame>
      <xdr:nvGraphicFramePr>
        <xdr:cNvPr id="1" name="Chart 1"/>
        <xdr:cNvGraphicFramePr/>
      </xdr:nvGraphicFramePr>
      <xdr:xfrm>
        <a:off x="5709240" y="3276720"/>
        <a:ext cx="3238560" cy="2347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11</xdr:col>
      <xdr:colOff>293400</xdr:colOff>
      <xdr:row>41</xdr:row>
      <xdr:rowOff>200160</xdr:rowOff>
    </xdr:to>
    <xdr:graphicFrame>
      <xdr:nvGraphicFramePr>
        <xdr:cNvPr id="2" name="Chart 2"/>
        <xdr:cNvGraphicFramePr/>
      </xdr:nvGraphicFramePr>
      <xdr:xfrm>
        <a:off x="5709240" y="4991040"/>
        <a:ext cx="3958560" cy="325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10</xdr:col>
      <xdr:colOff>97200</xdr:colOff>
      <xdr:row>15</xdr:row>
      <xdr:rowOff>42120</xdr:rowOff>
    </xdr:to>
    <xdr:graphicFrame>
      <xdr:nvGraphicFramePr>
        <xdr:cNvPr id="3" name="Chart 1"/>
        <xdr:cNvGraphicFramePr/>
      </xdr:nvGraphicFramePr>
      <xdr:xfrm>
        <a:off x="5709240" y="685800"/>
        <a:ext cx="3601080" cy="253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13" min="2" style="1" width="13"/>
  </cols>
  <sheetData>
    <row r="1" customFormat="false" ht="27.75" hidden="false" customHeight="true" outlineLevel="0" collapsed="false">
      <c r="B1" s="2" t="str">
        <f aca="false">CONCATENATE("BIOWELLNESS — Dashboard de Gestión · ",Parámetros!C5)</f>
        <v>BIOWELLNESS — Dashboard de Gestión · Agosto 2026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15" hidden="false" customHeight="false" outlineLevel="0" collapsed="false">
      <c r="B4" s="4" t="s">
        <v>1</v>
      </c>
      <c r="C4" s="4"/>
      <c r="D4" s="4" t="s">
        <v>2</v>
      </c>
      <c r="E4" s="4"/>
      <c r="F4" s="4" t="s">
        <v>3</v>
      </c>
      <c r="G4" s="4"/>
      <c r="H4" s="4" t="s">
        <v>4</v>
      </c>
      <c r="I4" s="4"/>
      <c r="J4" s="4" t="s">
        <v>5</v>
      </c>
      <c r="K4" s="4"/>
      <c r="L4" s="4" t="s">
        <v>6</v>
      </c>
      <c r="M4" s="4"/>
    </row>
    <row r="5" customFormat="false" ht="19.5" hidden="false" customHeight="true" outlineLevel="0" collapsed="false">
      <c r="B5" s="5" t="n">
        <f aca="false">SUMIFS('Caja Diaria'!$F$4:$F$403,'Caja Diaria'!$B$4:$B$403,"Ingreso")</f>
        <v>5836500</v>
      </c>
      <c r="C5" s="5"/>
      <c r="D5" s="5" t="n">
        <f aca="false">SUMIFS('Caja Diaria'!$F$4:$F$403,'Caja Diaria'!$B$4:$B$403,"Ingreso")/Parámetros!$C$8</f>
        <v>3891</v>
      </c>
      <c r="E5" s="5"/>
      <c r="F5" s="5" t="n">
        <f aca="false">C20</f>
        <v>-6187250</v>
      </c>
      <c r="G5" s="5"/>
      <c r="H5" s="6" t="n">
        <f aca="false">C21</f>
        <v>-1.13719695022702</v>
      </c>
      <c r="I5" s="6"/>
      <c r="J5" s="5" t="n">
        <f aca="false">'Membresías &amp; Combos'!$E$16</f>
        <v>13214</v>
      </c>
      <c r="K5" s="5"/>
      <c r="L5" s="6" t="n">
        <f aca="false">IF(SUMPRODUCT(Parámetros!$E$15:$E$27)=0,0,SUMPRODUCT(COUNTIF(Sesiones!$B$4:$B$903,Parámetros!$B$15:$B$27))/SUMPRODUCT(Parámetros!$E$15:$E$27))</f>
        <v>0.00148148148148148</v>
      </c>
      <c r="M5" s="6"/>
    </row>
    <row r="6" customFormat="false" ht="15" hidden="false" customHeight="false" outlineLevel="0" collapsed="false">
      <c r="B6" s="5"/>
      <c r="C6" s="5"/>
      <c r="D6" s="5"/>
      <c r="E6" s="5"/>
      <c r="F6" s="5"/>
      <c r="G6" s="5"/>
      <c r="H6" s="6"/>
      <c r="I6" s="6"/>
      <c r="J6" s="5"/>
      <c r="K6" s="5"/>
      <c r="L6" s="6"/>
      <c r="M6" s="6"/>
    </row>
    <row r="8" customFormat="false" ht="15.75" hidden="false" customHeight="true" outlineLevel="0" collapsed="false">
      <c r="B8" s="7" t="s">
        <v>7</v>
      </c>
      <c r="C8" s="7"/>
      <c r="D8" s="7"/>
      <c r="E8" s="7"/>
      <c r="F8" s="7"/>
      <c r="H8" s="7" t="s">
        <v>8</v>
      </c>
      <c r="I8" s="7"/>
      <c r="J8" s="7"/>
      <c r="K8" s="7"/>
    </row>
    <row r="9" customFormat="false" ht="15" hidden="false" customHeight="false" outlineLevel="0" collapsed="false">
      <c r="B9" s="8" t="s">
        <v>9</v>
      </c>
      <c r="C9" s="8" t="s">
        <v>10</v>
      </c>
      <c r="D9" s="8" t="s">
        <v>11</v>
      </c>
      <c r="H9" s="8" t="s">
        <v>12</v>
      </c>
      <c r="I9" s="8" t="s">
        <v>10</v>
      </c>
      <c r="J9" s="8" t="s">
        <v>13</v>
      </c>
    </row>
    <row r="10" customFormat="false" ht="15" hidden="false" customHeight="false" outlineLevel="0" collapsed="false">
      <c r="B10" s="9" t="s">
        <v>14</v>
      </c>
      <c r="C10" s="10" t="n">
        <f aca="false">SUMIFS('Caja Diaria'!$F$4:$F$403,'Caja Diaria'!$B$4:$B$403,"Ingreso",'Caja Diaria'!$C$4:$C$403,"Membresías")</f>
        <v>2628000</v>
      </c>
      <c r="D10" s="10" t="n">
        <f aca="false">C10/Parámetros!$C$8</f>
        <v>1752</v>
      </c>
      <c r="H10" s="9" t="s">
        <v>14</v>
      </c>
      <c r="I10" s="10" t="n">
        <f aca="false">SUMIFS('Caja Diaria'!$F$4:$F$403,'Caja Diaria'!$B$4:$B$403,"Ingreso",'Caja Diaria'!$C$4:$C$403,"Membresías")</f>
        <v>2628000</v>
      </c>
      <c r="J10" s="11" t="n">
        <f aca="false">IF($I$15=0,0,I10/$I$15)</f>
        <v>0.450269853508096</v>
      </c>
    </row>
    <row r="11" customFormat="false" ht="15" hidden="false" customHeight="false" outlineLevel="0" collapsed="false">
      <c r="B11" s="9" t="s">
        <v>15</v>
      </c>
      <c r="C11" s="10" t="n">
        <f aca="false">SUMIFS('Caja Diaria'!$F$4:$F$403,'Caja Diaria'!$B$4:$B$403,"Ingreso",'Caja Diaria'!$C$4:$C$403,"Sueltas &amp; Combos")</f>
        <v>606000</v>
      </c>
      <c r="D11" s="10" t="n">
        <f aca="false">C11/Parámetros!$C$8</f>
        <v>404</v>
      </c>
      <c r="H11" s="9" t="s">
        <v>15</v>
      </c>
      <c r="I11" s="10" t="n">
        <f aca="false">SUMIFS('Caja Diaria'!$F$4:$F$403,'Caja Diaria'!$B$4:$B$403,"Ingreso",'Caja Diaria'!$C$4:$C$403,"Sueltas &amp; Combos")</f>
        <v>606000</v>
      </c>
      <c r="J11" s="11" t="n">
        <f aca="false">IF($I$15=0,0,I11/$I$15)</f>
        <v>0.103829349781547</v>
      </c>
    </row>
    <row r="12" customFormat="false" ht="15" hidden="false" customHeight="false" outlineLevel="0" collapsed="false">
      <c r="B12" s="9" t="s">
        <v>16</v>
      </c>
      <c r="C12" s="10" t="n">
        <f aca="false">SUMIFS('Caja Diaria'!$F$4:$F$403,'Caja Diaria'!$B$4:$B$403,"Ingreso",'Caja Diaria'!$C$4:$C$403,"Paquetes")</f>
        <v>2227500</v>
      </c>
      <c r="D12" s="10" t="n">
        <f aca="false">C12/Parámetros!$C$8</f>
        <v>1485</v>
      </c>
      <c r="H12" s="9" t="s">
        <v>16</v>
      </c>
      <c r="I12" s="10" t="n">
        <f aca="false">SUMIFS('Caja Diaria'!$F$4:$F$403,'Caja Diaria'!$B$4:$B$403,"Ingreso",'Caja Diaria'!$C$4:$C$403,"Paquetes")</f>
        <v>2227500</v>
      </c>
      <c r="J12" s="11" t="n">
        <f aca="false">IF($I$15=0,0,I12/$I$15)</f>
        <v>0.381649961449499</v>
      </c>
    </row>
    <row r="13" customFormat="false" ht="15" hidden="false" customHeight="false" outlineLevel="0" collapsed="false">
      <c r="B13" s="9" t="s">
        <v>17</v>
      </c>
      <c r="C13" s="10" t="n">
        <f aca="false">SUMIFS('Caja Diaria'!$F$4:$F$403,'Caja Diaria'!$B$4:$B$403,"Ingreso",'Caja Diaria'!$C$4:$C$403,"IV + Terapias Biológicas")</f>
        <v>375000</v>
      </c>
      <c r="D13" s="10" t="n">
        <f aca="false">C13/Parámetros!$C$8</f>
        <v>250</v>
      </c>
      <c r="H13" s="9" t="s">
        <v>17</v>
      </c>
      <c r="I13" s="10" t="n">
        <f aca="false">SUMIFS('Caja Diaria'!$F$4:$F$403,'Caja Diaria'!$B$4:$B$403,"Ingreso",'Caja Diaria'!$C$4:$C$403,"IV + Terapias Biológicas")</f>
        <v>375000</v>
      </c>
      <c r="J13" s="11" t="n">
        <f aca="false">IF($I$15=0,0,I13/$I$15)</f>
        <v>0.0642508352608584</v>
      </c>
    </row>
    <row r="14" customFormat="false" ht="15" hidden="false" customHeight="false" outlineLevel="0" collapsed="false">
      <c r="B14" s="9" t="s">
        <v>18</v>
      </c>
      <c r="C14" s="10" t="n">
        <f aca="false">SUMIFS('Caja Diaria'!$F$4:$F$403,'Caja Diaria'!$B$4:$B$403,"Ingreso",'Caja Diaria'!$C$4:$C$403,"Otros")</f>
        <v>0</v>
      </c>
      <c r="D14" s="10" t="n">
        <f aca="false">C14/Parámetros!$C$8</f>
        <v>0</v>
      </c>
      <c r="H14" s="9" t="s">
        <v>18</v>
      </c>
      <c r="I14" s="10" t="n">
        <f aca="false">SUMIFS('Caja Diaria'!$F$4:$F$403,'Caja Diaria'!$B$4:$B$403,"Ingreso",'Caja Diaria'!$C$4:$C$403,"Otros")</f>
        <v>0</v>
      </c>
      <c r="J14" s="11" t="n">
        <f aca="false">IF($I$15=0,0,I14/$I$15)</f>
        <v>0</v>
      </c>
    </row>
    <row r="15" customFormat="false" ht="15" hidden="false" customHeight="false" outlineLevel="0" collapsed="false">
      <c r="B15" s="12" t="s">
        <v>19</v>
      </c>
      <c r="C15" s="13" t="n">
        <f aca="false">SUMIFS('Caja Diaria'!$F$4:$F$403,'Caja Diaria'!$B$4:$B$403,"Ingreso")</f>
        <v>5836500</v>
      </c>
      <c r="D15" s="13" t="n">
        <f aca="false">C15/Parámetros!$C$8</f>
        <v>3891</v>
      </c>
      <c r="H15" s="12" t="s">
        <v>20</v>
      </c>
      <c r="I15" s="13" t="n">
        <f aca="false">SUM(I10:I14)</f>
        <v>5836500</v>
      </c>
      <c r="J15" s="14" t="n">
        <f aca="false">SUM(J10:J14)</f>
        <v>1</v>
      </c>
    </row>
    <row r="16" customFormat="false" ht="15" hidden="false" customHeight="false" outlineLevel="0" collapsed="false">
      <c r="B16" s="9" t="s">
        <v>21</v>
      </c>
      <c r="C16" s="10" t="n">
        <f aca="false">-'Gastos del Mes'!$C$21</f>
        <v>-12398750</v>
      </c>
      <c r="D16" s="10" t="n">
        <f aca="false">C16/Parámetros!$C$8</f>
        <v>-8265.83333333333</v>
      </c>
    </row>
    <row r="17" customFormat="false" ht="15" hidden="false" customHeight="false" outlineLevel="0" collapsed="false">
      <c r="B17" s="9" t="s">
        <v>22</v>
      </c>
      <c r="C17" s="10" t="n">
        <f aca="false">-SUMIFS('Caja Diaria'!$F$4:$F$403,'Caja Diaria'!$B$4:$B$403,"Egreso")</f>
        <v>-75000</v>
      </c>
      <c r="D17" s="10" t="n">
        <f aca="false">C17/Parámetros!$C$8</f>
        <v>-50</v>
      </c>
    </row>
    <row r="18" customFormat="false" ht="15" hidden="false" customHeight="false" outlineLevel="0" collapsed="false">
      <c r="B18" s="15" t="s">
        <v>23</v>
      </c>
      <c r="C18" s="16" t="n">
        <f aca="false">SUMIFS('Caja Diaria'!$F$4:$F$403,'Caja Diaria'!$B$4:$B$403,"Ingreso")-'Gastos del Mes'!$C$21-SUMIFS('Caja Diaria'!$F$4:$F$403,'Caja Diaria'!$B$4:$B$403,"Egreso")</f>
        <v>-6637250</v>
      </c>
      <c r="D18" s="16" t="n">
        <f aca="false">C18/Parámetros!$C$8</f>
        <v>-4424.83333333333</v>
      </c>
    </row>
    <row r="19" customFormat="false" ht="15" hidden="false" customHeight="false" outlineLevel="0" collapsed="false">
      <c r="B19" s="9" t="s">
        <v>24</v>
      </c>
      <c r="C19" s="17" t="n">
        <v>450000</v>
      </c>
      <c r="D19" s="10" t="n">
        <f aca="false">C19/Parámetros!$C$8</f>
        <v>300</v>
      </c>
    </row>
    <row r="20" customFormat="false" ht="15" hidden="false" customHeight="false" outlineLevel="0" collapsed="false">
      <c r="B20" s="15" t="s">
        <v>25</v>
      </c>
      <c r="C20" s="16" t="n">
        <f aca="false">C18+C19</f>
        <v>-6187250</v>
      </c>
      <c r="D20" s="16" t="n">
        <f aca="false">C20/Parámetros!$C$8</f>
        <v>-4124.83333333333</v>
      </c>
    </row>
    <row r="21" customFormat="false" ht="15" hidden="false" customHeight="false" outlineLevel="0" collapsed="false">
      <c r="B21" s="15" t="s">
        <v>26</v>
      </c>
      <c r="C21" s="18" t="n">
        <f aca="false">IF(C15=0,0,C18/C15)</f>
        <v>-1.13719695022702</v>
      </c>
      <c r="D21" s="19"/>
    </row>
    <row r="26" customFormat="false" ht="15.75" hidden="false" customHeight="true" outlineLevel="0" collapsed="false">
      <c r="B26" s="7" t="s">
        <v>27</v>
      </c>
      <c r="C26" s="7"/>
      <c r="D26" s="7"/>
      <c r="E26" s="7"/>
      <c r="F26" s="7"/>
    </row>
    <row r="27" customFormat="false" ht="15" hidden="false" customHeight="false" outlineLevel="0" collapsed="false">
      <c r="B27" s="8" t="s">
        <v>28</v>
      </c>
      <c r="C27" s="8" t="s">
        <v>29</v>
      </c>
      <c r="D27" s="8" t="s">
        <v>30</v>
      </c>
    </row>
    <row r="28" customFormat="false" ht="15" hidden="false" customHeight="false" outlineLevel="0" collapsed="false">
      <c r="B28" s="9" t="s">
        <v>31</v>
      </c>
      <c r="C28" s="20" t="n">
        <f aca="false">COUNTIF(Sesiones!$B$4:$B$903,B28)</f>
        <v>2</v>
      </c>
      <c r="D28" s="21" t="n">
        <f aca="false">IF(Parámetros!$E$15=0,0,C28/Parámetros!$E$15)</f>
        <v>0.00666666666666667</v>
      </c>
    </row>
    <row r="29" customFormat="false" ht="15" hidden="false" customHeight="false" outlineLevel="0" collapsed="false">
      <c r="B29" s="9" t="s">
        <v>32</v>
      </c>
      <c r="C29" s="20" t="n">
        <f aca="false">COUNTIF(Sesiones!$B$4:$B$903,B29)</f>
        <v>0</v>
      </c>
      <c r="D29" s="21" t="n">
        <f aca="false">IF(Parámetros!$E$16=0,0,C29/Parámetros!$E$16)</f>
        <v>0</v>
      </c>
    </row>
    <row r="30" customFormat="false" ht="15" hidden="false" customHeight="false" outlineLevel="0" collapsed="false">
      <c r="B30" s="9" t="s">
        <v>33</v>
      </c>
      <c r="C30" s="20" t="n">
        <f aca="false">COUNTIF(Sesiones!$B$4:$B$903,B30)</f>
        <v>1</v>
      </c>
      <c r="D30" s="21" t="n">
        <f aca="false">IF(Parámetros!$E$17=0,0,C30/Parámetros!$E$17)</f>
        <v>0.00333333333333333</v>
      </c>
    </row>
    <row r="31" customFormat="false" ht="15" hidden="false" customHeight="false" outlineLevel="0" collapsed="false">
      <c r="B31" s="9" t="s">
        <v>34</v>
      </c>
      <c r="C31" s="20" t="n">
        <f aca="false">COUNTIF(Sesiones!$B$4:$B$903,B31)</f>
        <v>1</v>
      </c>
      <c r="D31" s="21" t="n">
        <f aca="false">IF(Parámetros!$E$18=0,0,C31/Parámetros!$E$18)</f>
        <v>0.00166666666666667</v>
      </c>
    </row>
    <row r="32" customFormat="false" ht="15" hidden="false" customHeight="false" outlineLevel="0" collapsed="false">
      <c r="B32" s="9" t="s">
        <v>35</v>
      </c>
      <c r="C32" s="20" t="n">
        <f aca="false">COUNTIF(Sesiones!$B$4:$B$903,B32)</f>
        <v>1</v>
      </c>
      <c r="D32" s="21" t="n">
        <f aca="false">IF(Parámetros!$E$19=0,0,C32/Parámetros!$E$19)</f>
        <v>0.00166666666666667</v>
      </c>
    </row>
    <row r="33" customFormat="false" ht="15" hidden="false" customHeight="false" outlineLevel="0" collapsed="false">
      <c r="B33" s="9" t="s">
        <v>36</v>
      </c>
      <c r="C33" s="20" t="n">
        <f aca="false">COUNTIF(Sesiones!$B$4:$B$903,B33)</f>
        <v>1</v>
      </c>
      <c r="D33" s="21" t="n">
        <f aca="false">IF(Parámetros!$E$20=0,0,C33/Parámetros!$E$20)</f>
        <v>0.00333333333333333</v>
      </c>
    </row>
    <row r="34" customFormat="false" ht="15" hidden="false" customHeight="false" outlineLevel="0" collapsed="false">
      <c r="B34" s="9" t="s">
        <v>37</v>
      </c>
      <c r="C34" s="20" t="n">
        <f aca="false">COUNTIF(Sesiones!$B$4:$B$903,B34)</f>
        <v>0</v>
      </c>
      <c r="D34" s="21" t="n">
        <f aca="false">IF(Parámetros!$E$21=0,0,C34/Parámetros!$E$21)</f>
        <v>0</v>
      </c>
    </row>
    <row r="35" customFormat="false" ht="15" hidden="false" customHeight="false" outlineLevel="0" collapsed="false">
      <c r="B35" s="9" t="s">
        <v>38</v>
      </c>
      <c r="C35" s="20" t="n">
        <f aca="false">COUNTIF(Sesiones!$B$4:$B$903,B35)</f>
        <v>1</v>
      </c>
      <c r="D35" s="21" t="n">
        <f aca="false">IF(Parámetros!$E$22=0,0,C35/Parámetros!$E$22)</f>
        <v>0.00166666666666667</v>
      </c>
    </row>
    <row r="36" customFormat="false" ht="15" hidden="false" customHeight="false" outlineLevel="0" collapsed="false">
      <c r="B36" s="9" t="s">
        <v>39</v>
      </c>
      <c r="C36" s="20" t="n">
        <f aca="false">COUNTIF(Sesiones!$B$4:$B$903,B36)</f>
        <v>0</v>
      </c>
      <c r="D36" s="21" t="n">
        <f aca="false">IF(Parámetros!$E$23=0,0,C36/Parámetros!$E$23)</f>
        <v>0</v>
      </c>
    </row>
    <row r="37" customFormat="false" ht="15" hidden="false" customHeight="false" outlineLevel="0" collapsed="false">
      <c r="B37" s="9" t="s">
        <v>40</v>
      </c>
      <c r="C37" s="20" t="n">
        <f aca="false">COUNTIF(Sesiones!$B$4:$B$903,B37)</f>
        <v>0</v>
      </c>
      <c r="D37" s="21" t="n">
        <f aca="false">IF(Parámetros!$E$24=0,0,C37/Parámetros!$E$24)</f>
        <v>0</v>
      </c>
    </row>
    <row r="38" customFormat="false" ht="15" hidden="false" customHeight="false" outlineLevel="0" collapsed="false">
      <c r="B38" s="9" t="s">
        <v>41</v>
      </c>
      <c r="C38" s="20" t="n">
        <f aca="false">COUNTIF(Sesiones!$B$4:$B$903,B38)</f>
        <v>0</v>
      </c>
      <c r="D38" s="21" t="n">
        <f aca="false">IF(Parámetros!$E$25=0,0,C38/Parámetros!$E$25)</f>
        <v>0</v>
      </c>
    </row>
    <row r="39" customFormat="false" ht="15" hidden="false" customHeight="false" outlineLevel="0" collapsed="false">
      <c r="B39" s="9" t="s">
        <v>42</v>
      </c>
      <c r="C39" s="20" t="n">
        <f aca="false">COUNTIF(Sesiones!$B$4:$B$903,B39)</f>
        <v>0</v>
      </c>
      <c r="D39" s="21" t="n">
        <f aca="false">IF(Parámetros!$E$26=0,0,C39/Parámetros!$E$26)</f>
        <v>0</v>
      </c>
    </row>
    <row r="40" customFormat="false" ht="15" hidden="false" customHeight="false" outlineLevel="0" collapsed="false">
      <c r="B40" s="9" t="s">
        <v>43</v>
      </c>
      <c r="C40" s="20" t="n">
        <f aca="false">COUNTIF(Sesiones!$B$4:$B$903,B40)</f>
        <v>1</v>
      </c>
      <c r="D40" s="21" t="n">
        <f aca="false">IF(Parámetros!$E$27=0,0,C40/Parámetros!$E$27)</f>
        <v>0.00333333333333333</v>
      </c>
    </row>
    <row r="42" customFormat="false" ht="15.75" hidden="false" customHeight="true" outlineLevel="0" collapsed="false">
      <c r="B42" s="7" t="s">
        <v>44</v>
      </c>
      <c r="C42" s="7"/>
      <c r="D42" s="7"/>
      <c r="E42" s="7"/>
      <c r="G42" s="22" t="s">
        <v>45</v>
      </c>
      <c r="H42" s="22"/>
      <c r="I42" s="22"/>
      <c r="J42" s="22"/>
      <c r="K42" s="22"/>
      <c r="L42" s="22"/>
      <c r="M42" s="22"/>
    </row>
    <row r="43" customFormat="false" ht="15" hidden="false" customHeight="false" outlineLevel="0" collapsed="false">
      <c r="B43" s="8" t="s">
        <v>46</v>
      </c>
      <c r="C43" s="8" t="s">
        <v>47</v>
      </c>
      <c r="D43" s="8" t="s">
        <v>48</v>
      </c>
    </row>
    <row r="44" customFormat="false" ht="15" hidden="false" customHeight="false" outlineLevel="0" collapsed="false">
      <c r="B44" s="9" t="s">
        <v>49</v>
      </c>
      <c r="C44" s="23" t="n">
        <v>0.53</v>
      </c>
      <c r="D44" s="10" t="n">
        <f aca="false">C44*$C20</f>
        <v>-3279242.5</v>
      </c>
    </row>
    <row r="45" customFormat="false" ht="15" hidden="false" customHeight="false" outlineLevel="0" collapsed="false">
      <c r="B45" s="9" t="s">
        <v>50</v>
      </c>
      <c r="C45" s="23" t="n">
        <v>0.24</v>
      </c>
      <c r="D45" s="10" t="n">
        <f aca="false">C45*$C20</f>
        <v>-1484940</v>
      </c>
    </row>
    <row r="46" customFormat="false" ht="15" hidden="false" customHeight="false" outlineLevel="0" collapsed="false">
      <c r="B46" s="9" t="s">
        <v>51</v>
      </c>
      <c r="C46" s="23" t="n">
        <v>0.09</v>
      </c>
      <c r="D46" s="10" t="n">
        <f aca="false">C46*$C20</f>
        <v>-556852.5</v>
      </c>
    </row>
    <row r="47" customFormat="false" ht="15" hidden="false" customHeight="false" outlineLevel="0" collapsed="false">
      <c r="B47" s="9" t="s">
        <v>52</v>
      </c>
      <c r="C47" s="23" t="n">
        <v>0.06</v>
      </c>
      <c r="D47" s="10" t="n">
        <f aca="false">C47*$C20</f>
        <v>-371235</v>
      </c>
    </row>
    <row r="48" customFormat="false" ht="15" hidden="false" customHeight="false" outlineLevel="0" collapsed="false">
      <c r="B48" s="9" t="s">
        <v>53</v>
      </c>
      <c r="C48" s="23" t="n">
        <v>0.05</v>
      </c>
      <c r="D48" s="10" t="n">
        <f aca="false">C48*$C20</f>
        <v>-309362.5</v>
      </c>
    </row>
    <row r="49" customFormat="false" ht="15" hidden="false" customHeight="false" outlineLevel="0" collapsed="false">
      <c r="B49" s="9" t="s">
        <v>54</v>
      </c>
      <c r="C49" s="23" t="n">
        <v>0.02</v>
      </c>
      <c r="D49" s="10" t="n">
        <f aca="false">C49*$C20</f>
        <v>-123745</v>
      </c>
    </row>
    <row r="50" customFormat="false" ht="15" hidden="false" customHeight="false" outlineLevel="0" collapsed="false">
      <c r="B50" s="9" t="s">
        <v>55</v>
      </c>
      <c r="C50" s="23" t="n">
        <v>0.01</v>
      </c>
      <c r="D50" s="10" t="n">
        <f aca="false">C50*$C20</f>
        <v>-61872.5</v>
      </c>
    </row>
    <row r="51" customFormat="false" ht="15" hidden="false" customHeight="false" outlineLevel="0" collapsed="false">
      <c r="B51" s="12" t="s">
        <v>20</v>
      </c>
      <c r="C51" s="14" t="n">
        <f aca="false">SUM(C44:C50)</f>
        <v>1</v>
      </c>
      <c r="D51" s="13" t="n">
        <f aca="false">SUM(D44:D50)</f>
        <v>-6187250</v>
      </c>
    </row>
    <row r="53" customFormat="false" ht="15.75" hidden="false" customHeight="true" outlineLevel="0" collapsed="false">
      <c r="B53" s="7" t="s">
        <v>56</v>
      </c>
      <c r="C53" s="7"/>
      <c r="D53" s="7"/>
      <c r="E53" s="7"/>
      <c r="F53" s="7"/>
    </row>
    <row r="54" customFormat="false" ht="15" hidden="false" customHeight="false" outlineLevel="0" collapsed="false">
      <c r="B54" s="24" t="s">
        <v>57</v>
      </c>
      <c r="C54" s="25" t="n">
        <v>0</v>
      </c>
    </row>
    <row r="55" customFormat="false" ht="15" hidden="false" customHeight="false" outlineLevel="0" collapsed="false">
      <c r="B55" s="24" t="s">
        <v>58</v>
      </c>
      <c r="C55" s="26" t="n">
        <f aca="false">IF(C54=0,0,(SUMIFS('Caja Diaria'!$F$4:$F$403,'Caja Diaria'!$B$4:$B$403,"Ingreso")-C54)/C54)</f>
        <v>0</v>
      </c>
    </row>
    <row r="57" customFormat="false" ht="15.75" hidden="false" customHeight="true" outlineLevel="0" collapsed="false">
      <c r="B57" s="7" t="s">
        <v>59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customFormat="false" ht="18" hidden="false" customHeight="true" outlineLevel="0" collapsed="false">
      <c r="B58" s="27" t="str">
        <f aca="false">IF(C20&gt;0,CONCATENATE("✔ El mes cerró POSITIVO: resultado total de ",TEXT(C20,"#,##0")," ARS (",TEXT(C21,"0.0%")," de margen)."),CONCATENATE("✖ El mes cerró NEGATIVO: ",TEXT(C20,"#,##0")," ARS. Revisar gastos e ingresos."))</f>
        <v>✖ El mes cerró NEGATIVO: -6,187,250 ARS. Revisar gastos e ingresos.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customFormat="false" ht="18" hidden="false" customHeight="true" outlineLevel="0" collapsed="false">
      <c r="B59" s="27" t="str">
        <f aca="false">IF(C54=0,"• Cargá el mes anterior para ver la tendencia.",IF((SUMIFS('Caja Diaria'!$F$4:$F$403,'Caja Diaria'!$B$4:$B$403,"Ingreso")-C54)/C54&gt;=0,CONCATENATE("• Ingresos SUBIERON ",TEXT((SUMIFS('Caja Diaria'!$F$4:$F$403,'Caja Diaria'!$B$4:$B$403,"Ingreso")-C54)/C54,"0.0%")," vs. el mes pasado."),CONCATENATE("• Ingresos BAJARON ",TEXT(ABS((SUMIFS('Caja Diaria'!$F$4:$F$403,'Caja Diaria'!$B$4:$B$403,"Ingreso")-C54)/C54),"0.0%")," vs. el mes pasado.")))</f>
        <v>• Cargá el mes anterior para ver la tendencia.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customFormat="false" ht="18" hidden="false" customHeight="true" outlineLevel="0" collapsed="false">
      <c r="B60" s="27" t="str">
        <f aca="false">CONCATENATE("• MRR de membresías: ",TEXT('Membresías &amp; Combos'!$E$16,"#,##0")," USD/mes con ",TEXT('Membresías &amp; Combos'!$C$16,"0")," socios activos.")</f>
        <v>• MRR de membresías: 13,214 USD/mes con 10 socios activos.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customFormat="false" ht="18" hidden="false" customHeight="true" outlineLevel="0" collapsed="false">
      <c r="B61" s="27" t="str">
        <f aca="false">CONCATENATE("• Recurso MÁS usado: ",INDEX(B28:B40,MATCH(MAX(D28:D40),D28:D40,0))," (",TEXT(MAX(D28:D40),"0.0%"),"). Menos usado: ",INDEX(B28:B40,MATCH(MIN(D28:D40),D28:D40,0))," (",TEXT(MIN(D28:D40),"0.0%"),").")</f>
        <v>• Recurso MÁS usado: HBOT Monoplaza (0.7%). Menos usado: HBOT Biplaza (0.0%).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</row>
    <row r="62" customFormat="false" ht="18" hidden="false" customHeight="true" outlineLevel="0" collapsed="false">
      <c r="B62" s="27" t="str">
        <f aca="false">IF(C21&lt;0.2,"⚠ Margen por debajo del 20% objetivo: revisar pricing o costos.","✔ Margen saludable (≥20%).")</f>
        <v>⚠ Margen por debajo del 20% objetivo: revisar pricing o costos.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</row>
    <row r="65" customFormat="false" ht="15.75" hidden="false" customHeight="true" outlineLevel="0" collapsed="false">
      <c r="B65" s="7" t="s">
        <v>60</v>
      </c>
      <c r="C65" s="7"/>
      <c r="D65" s="7"/>
      <c r="E65" s="7"/>
      <c r="G65" s="22" t="s">
        <v>61</v>
      </c>
      <c r="H65" s="22"/>
      <c r="I65" s="22"/>
      <c r="J65" s="22"/>
      <c r="K65" s="22"/>
      <c r="L65" s="22"/>
      <c r="M65" s="22"/>
    </row>
    <row r="66" customFormat="false" ht="15" hidden="false" customHeight="false" outlineLevel="0" collapsed="false">
      <c r="B66" s="8" t="s">
        <v>62</v>
      </c>
      <c r="C66" s="8" t="s">
        <v>63</v>
      </c>
      <c r="D66" s="8" t="s">
        <v>13</v>
      </c>
    </row>
    <row r="67" customFormat="false" ht="15" hidden="false" customHeight="false" outlineLevel="0" collapsed="false">
      <c r="B67" s="9" t="s">
        <v>64</v>
      </c>
      <c r="C67" s="10" t="n">
        <f aca="false">'Formas de Pago'!C6</f>
        <v>543000</v>
      </c>
      <c r="D67" s="21" t="n">
        <f aca="false">'Formas de Pago'!E6</f>
        <v>0.093035209457723</v>
      </c>
    </row>
    <row r="68" customFormat="false" ht="15" hidden="false" customHeight="false" outlineLevel="0" collapsed="false">
      <c r="B68" s="9" t="s">
        <v>65</v>
      </c>
      <c r="C68" s="10" t="n">
        <f aca="false">'Formas de Pago'!C7</f>
        <v>0</v>
      </c>
      <c r="D68" s="21" t="n">
        <f aca="false">'Formas de Pago'!E7</f>
        <v>0</v>
      </c>
    </row>
    <row r="69" customFormat="false" ht="15" hidden="false" customHeight="false" outlineLevel="0" collapsed="false">
      <c r="B69" s="9" t="s">
        <v>66</v>
      </c>
      <c r="C69" s="10" t="n">
        <f aca="false">'Formas de Pago'!C8</f>
        <v>2665500</v>
      </c>
      <c r="D69" s="21" t="n">
        <f aca="false">'Formas de Pago'!E8</f>
        <v>0.456694937034181</v>
      </c>
    </row>
    <row r="70" customFormat="false" ht="15" hidden="false" customHeight="false" outlineLevel="0" collapsed="false">
      <c r="B70" s="9" t="s">
        <v>67</v>
      </c>
      <c r="C70" s="10" t="n">
        <f aca="false">'Formas de Pago'!C9</f>
        <v>0</v>
      </c>
      <c r="D70" s="21" t="n">
        <f aca="false">'Formas de Pago'!E9</f>
        <v>0</v>
      </c>
    </row>
    <row r="71" customFormat="false" ht="15" hidden="false" customHeight="false" outlineLevel="0" collapsed="false">
      <c r="B71" s="9" t="s">
        <v>68</v>
      </c>
      <c r="C71" s="10" t="n">
        <f aca="false">'Formas de Pago'!C10</f>
        <v>2628000</v>
      </c>
      <c r="D71" s="21" t="n">
        <f aca="false">'Formas de Pago'!E10</f>
        <v>0.450269853508096</v>
      </c>
    </row>
    <row r="72" customFormat="false" ht="15" hidden="false" customHeight="false" outlineLevel="0" collapsed="false">
      <c r="B72" s="12" t="s">
        <v>20</v>
      </c>
      <c r="C72" s="13" t="n">
        <f aca="false">SUM(C67:C71)</f>
        <v>5836500</v>
      </c>
      <c r="D72" s="14" t="n">
        <f aca="false">SUM(D67:D71)</f>
        <v>1</v>
      </c>
    </row>
    <row r="73" customFormat="false" ht="15" hidden="false" customHeight="false" outlineLevel="0" collapsed="false">
      <c r="B73" s="27" t="str">
        <f aca="false">CONCATENATE("• Forma de pago principal: ",INDEX(B67:B71,MATCH(MAX(D67:D71),D67:D71,0))," (",TEXT(MAX(D67:D71),"0.0%")," de la facturación).")</f>
        <v>• Forma de pago principal: Tarjeta crédito (45.7% de la facturación).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</row>
  </sheetData>
  <mergeCells count="29">
    <mergeCell ref="B1:M1"/>
    <mergeCell ref="B2:M2"/>
    <mergeCell ref="B4:C4"/>
    <mergeCell ref="D4:E4"/>
    <mergeCell ref="F4:G4"/>
    <mergeCell ref="H4:I4"/>
    <mergeCell ref="J4:K4"/>
    <mergeCell ref="L4:M4"/>
    <mergeCell ref="B5:C6"/>
    <mergeCell ref="D5:E6"/>
    <mergeCell ref="F5:G6"/>
    <mergeCell ref="H5:I6"/>
    <mergeCell ref="J5:K6"/>
    <mergeCell ref="L5:M6"/>
    <mergeCell ref="B8:F8"/>
    <mergeCell ref="H8:K8"/>
    <mergeCell ref="B26:F26"/>
    <mergeCell ref="B42:E42"/>
    <mergeCell ref="G42:M42"/>
    <mergeCell ref="B53:F53"/>
    <mergeCell ref="B57:M57"/>
    <mergeCell ref="B58:M58"/>
    <mergeCell ref="B59:M59"/>
    <mergeCell ref="B60:M60"/>
    <mergeCell ref="B61:M61"/>
    <mergeCell ref="B62:M62"/>
    <mergeCell ref="B65:E65"/>
    <mergeCell ref="G65:M65"/>
    <mergeCell ref="B73:M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5" min="5" style="1" width="18"/>
    <col collapsed="false" customWidth="true" hidden="false" outlineLevel="0" max="7" min="6" style="1" width="14"/>
  </cols>
  <sheetData>
    <row r="1" customFormat="false" ht="25.5" hidden="false" customHeight="true" outlineLevel="0" collapsed="false">
      <c r="B1" s="2" t="s">
        <v>69</v>
      </c>
      <c r="C1" s="2"/>
      <c r="D1" s="2"/>
      <c r="E1" s="2"/>
      <c r="F1" s="2"/>
      <c r="G1" s="2"/>
      <c r="J1" s="28" t="s">
        <v>70</v>
      </c>
    </row>
    <row r="2" customFormat="false" ht="15" hidden="false" customHeight="false" outlineLevel="0" collapsed="false">
      <c r="B2" s="3" t="s">
        <v>71</v>
      </c>
      <c r="C2" s="3"/>
      <c r="D2" s="3"/>
      <c r="E2" s="3"/>
      <c r="F2" s="3"/>
      <c r="G2" s="3"/>
      <c r="J2" s="1" t="s">
        <v>14</v>
      </c>
      <c r="K2" s="1" t="s">
        <v>64</v>
      </c>
      <c r="L2" s="1" t="s">
        <v>72</v>
      </c>
      <c r="M2" s="1" t="s">
        <v>73</v>
      </c>
      <c r="N2" s="1" t="s">
        <v>31</v>
      </c>
    </row>
    <row r="3" customFormat="false" ht="15" hidden="false" customHeight="false" outlineLevel="0" collapsed="false">
      <c r="J3" s="1" t="s">
        <v>15</v>
      </c>
      <c r="K3" s="1" t="s">
        <v>65</v>
      </c>
      <c r="L3" s="1" t="s">
        <v>74</v>
      </c>
      <c r="M3" s="1" t="s">
        <v>75</v>
      </c>
      <c r="N3" s="1" t="s">
        <v>32</v>
      </c>
    </row>
    <row r="4" customFormat="false" ht="15.75" hidden="false" customHeight="true" outlineLevel="0" collapsed="false">
      <c r="B4" s="29" t="s">
        <v>76</v>
      </c>
      <c r="J4" s="1" t="s">
        <v>16</v>
      </c>
      <c r="K4" s="1" t="s">
        <v>66</v>
      </c>
      <c r="L4" s="1" t="s">
        <v>77</v>
      </c>
      <c r="N4" s="1" t="s">
        <v>33</v>
      </c>
    </row>
    <row r="5" customFormat="false" ht="15" hidden="false" customHeight="false" outlineLevel="0" collapsed="false">
      <c r="B5" s="24" t="s">
        <v>78</v>
      </c>
      <c r="C5" s="30" t="s">
        <v>79</v>
      </c>
      <c r="J5" s="1" t="s">
        <v>17</v>
      </c>
      <c r="K5" s="1" t="s">
        <v>67</v>
      </c>
      <c r="L5" s="1" t="s">
        <v>80</v>
      </c>
      <c r="N5" s="1" t="s">
        <v>34</v>
      </c>
    </row>
    <row r="6" customFormat="false" ht="15" hidden="false" customHeight="false" outlineLevel="0" collapsed="false">
      <c r="B6" s="24" t="s">
        <v>81</v>
      </c>
      <c r="C6" s="30" t="n">
        <v>2026</v>
      </c>
      <c r="J6" s="1" t="s">
        <v>18</v>
      </c>
      <c r="K6" s="1" t="s">
        <v>68</v>
      </c>
      <c r="L6" s="1" t="s">
        <v>82</v>
      </c>
      <c r="N6" s="1" t="s">
        <v>35</v>
      </c>
    </row>
    <row r="7" customFormat="false" ht="15" hidden="false" customHeight="false" outlineLevel="0" collapsed="false">
      <c r="B7" s="24" t="s">
        <v>83</v>
      </c>
      <c r="C7" s="30" t="n">
        <v>8</v>
      </c>
      <c r="D7" s="28" t="s">
        <v>84</v>
      </c>
      <c r="N7" s="1" t="s">
        <v>36</v>
      </c>
    </row>
    <row r="8" customFormat="false" ht="15" hidden="false" customHeight="false" outlineLevel="0" collapsed="false">
      <c r="B8" s="24" t="s">
        <v>85</v>
      </c>
      <c r="C8" s="31" t="n">
        <v>1500</v>
      </c>
      <c r="D8" s="28" t="s">
        <v>86</v>
      </c>
      <c r="N8" s="1" t="s">
        <v>37</v>
      </c>
    </row>
    <row r="9" customFormat="false" ht="15" hidden="false" customHeight="false" outlineLevel="0" collapsed="false">
      <c r="B9" s="24" t="s">
        <v>87</v>
      </c>
      <c r="C9" s="30" t="n">
        <v>25</v>
      </c>
      <c r="N9" s="1" t="s">
        <v>38</v>
      </c>
    </row>
    <row r="10" customFormat="false" ht="15" hidden="false" customHeight="false" outlineLevel="0" collapsed="false">
      <c r="B10" s="24" t="s">
        <v>88</v>
      </c>
      <c r="C10" s="30" t="n">
        <v>12</v>
      </c>
      <c r="D10" s="28" t="s">
        <v>89</v>
      </c>
      <c r="N10" s="1" t="s">
        <v>39</v>
      </c>
    </row>
    <row r="11" customFormat="false" ht="15" hidden="false" customHeight="false" outlineLevel="0" collapsed="false">
      <c r="B11" s="24" t="s">
        <v>90</v>
      </c>
      <c r="C11" s="31" t="n">
        <v>0</v>
      </c>
      <c r="D11" s="28" t="s">
        <v>91</v>
      </c>
      <c r="N11" s="1" t="s">
        <v>40</v>
      </c>
    </row>
    <row r="12" customFormat="false" ht="15" hidden="false" customHeight="false" outlineLevel="0" collapsed="false">
      <c r="N12" s="1" t="s">
        <v>41</v>
      </c>
    </row>
    <row r="13" customFormat="false" ht="15.75" hidden="false" customHeight="true" outlineLevel="0" collapsed="false">
      <c r="B13" s="29" t="s">
        <v>92</v>
      </c>
      <c r="D13" s="28" t="s">
        <v>93</v>
      </c>
      <c r="N13" s="1" t="s">
        <v>42</v>
      </c>
    </row>
    <row r="14" customFormat="false" ht="15" hidden="false" customHeight="false" outlineLevel="0" collapsed="false">
      <c r="B14" s="8" t="s">
        <v>28</v>
      </c>
      <c r="C14" s="8" t="s">
        <v>94</v>
      </c>
      <c r="D14" s="8" t="s">
        <v>95</v>
      </c>
      <c r="E14" s="8" t="s">
        <v>96</v>
      </c>
      <c r="N14" s="1" t="s">
        <v>43</v>
      </c>
    </row>
    <row r="15" customFormat="false" ht="15" hidden="false" customHeight="false" outlineLevel="0" collapsed="false">
      <c r="B15" s="9" t="s">
        <v>31</v>
      </c>
      <c r="C15" s="30" t="n">
        <v>60</v>
      </c>
      <c r="D15" s="32" t="n">
        <f aca="false">INT(($C$10*60)/C15)</f>
        <v>12</v>
      </c>
      <c r="E15" s="32" t="n">
        <f aca="false">D15*$C$9</f>
        <v>300</v>
      </c>
    </row>
    <row r="16" customFormat="false" ht="15" hidden="false" customHeight="false" outlineLevel="0" collapsed="false">
      <c r="B16" s="9" t="s">
        <v>32</v>
      </c>
      <c r="C16" s="30" t="n">
        <v>60</v>
      </c>
      <c r="D16" s="32" t="n">
        <f aca="false">INT(($C$10*60)/C16)</f>
        <v>12</v>
      </c>
      <c r="E16" s="32" t="n">
        <f aca="false">D16*$C$9</f>
        <v>300</v>
      </c>
    </row>
    <row r="17" customFormat="false" ht="15" hidden="false" customHeight="false" outlineLevel="0" collapsed="false">
      <c r="B17" s="9" t="s">
        <v>33</v>
      </c>
      <c r="C17" s="30" t="n">
        <v>60</v>
      </c>
      <c r="D17" s="32" t="n">
        <f aca="false">INT(($C$10*60)/C17)</f>
        <v>12</v>
      </c>
      <c r="E17" s="32" t="n">
        <f aca="false">D17*$C$9</f>
        <v>300</v>
      </c>
    </row>
    <row r="18" customFormat="false" ht="15" hidden="false" customHeight="false" outlineLevel="0" collapsed="false">
      <c r="B18" s="9" t="s">
        <v>34</v>
      </c>
      <c r="C18" s="30" t="n">
        <v>30</v>
      </c>
      <c r="D18" s="32" t="n">
        <f aca="false">INT(($C$10*60)/C18)</f>
        <v>24</v>
      </c>
      <c r="E18" s="32" t="n">
        <f aca="false">D18*$C$9</f>
        <v>600</v>
      </c>
    </row>
    <row r="19" customFormat="false" ht="15" hidden="false" customHeight="false" outlineLevel="0" collapsed="false">
      <c r="B19" s="9" t="s">
        <v>35</v>
      </c>
      <c r="C19" s="30" t="n">
        <v>30</v>
      </c>
      <c r="D19" s="32" t="n">
        <f aca="false">INT(($C$10*60)/C19)</f>
        <v>24</v>
      </c>
      <c r="E19" s="32" t="n">
        <f aca="false">D19*$C$9</f>
        <v>600</v>
      </c>
    </row>
    <row r="20" customFormat="false" ht="15" hidden="false" customHeight="false" outlineLevel="0" collapsed="false">
      <c r="B20" s="9" t="s">
        <v>36</v>
      </c>
      <c r="C20" s="30" t="n">
        <v>60</v>
      </c>
      <c r="D20" s="32" t="n">
        <f aca="false">INT(($C$10*60)/C20)</f>
        <v>12</v>
      </c>
      <c r="E20" s="32" t="n">
        <f aca="false">D20*$C$9</f>
        <v>300</v>
      </c>
    </row>
    <row r="21" customFormat="false" ht="15" hidden="false" customHeight="false" outlineLevel="0" collapsed="false">
      <c r="B21" s="9" t="s">
        <v>37</v>
      </c>
      <c r="C21" s="30" t="n">
        <v>60</v>
      </c>
      <c r="D21" s="32" t="n">
        <f aca="false">INT(($C$10*60)/C21)</f>
        <v>12</v>
      </c>
      <c r="E21" s="32" t="n">
        <f aca="false">D21*$C$9</f>
        <v>300</v>
      </c>
    </row>
    <row r="22" customFormat="false" ht="15" hidden="false" customHeight="false" outlineLevel="0" collapsed="false">
      <c r="B22" s="9" t="s">
        <v>38</v>
      </c>
      <c r="C22" s="30" t="n">
        <v>30</v>
      </c>
      <c r="D22" s="32" t="n">
        <f aca="false">INT(($C$10*60)/C22)</f>
        <v>24</v>
      </c>
      <c r="E22" s="32" t="n">
        <f aca="false">D22*$C$9</f>
        <v>600</v>
      </c>
    </row>
    <row r="23" customFormat="false" ht="15" hidden="false" customHeight="false" outlineLevel="0" collapsed="false">
      <c r="B23" s="9" t="s">
        <v>39</v>
      </c>
      <c r="C23" s="30" t="n">
        <v>30</v>
      </c>
      <c r="D23" s="32" t="n">
        <f aca="false">INT(($C$10*60)/C23)</f>
        <v>24</v>
      </c>
      <c r="E23" s="32" t="n">
        <f aca="false">D23*$C$9</f>
        <v>600</v>
      </c>
    </row>
    <row r="24" customFormat="false" ht="15" hidden="false" customHeight="false" outlineLevel="0" collapsed="false">
      <c r="B24" s="9" t="s">
        <v>40</v>
      </c>
      <c r="C24" s="30" t="n">
        <v>30</v>
      </c>
      <c r="D24" s="32" t="n">
        <f aca="false">INT(($C$10*60)/C24)</f>
        <v>24</v>
      </c>
      <c r="E24" s="32" t="n">
        <f aca="false">D24*$C$9</f>
        <v>600</v>
      </c>
    </row>
    <row r="25" customFormat="false" ht="15" hidden="false" customHeight="false" outlineLevel="0" collapsed="false">
      <c r="B25" s="9" t="s">
        <v>41</v>
      </c>
      <c r="C25" s="30" t="n">
        <v>60</v>
      </c>
      <c r="D25" s="32" t="n">
        <f aca="false">INT(($C$10*60)/C25)</f>
        <v>12</v>
      </c>
      <c r="E25" s="32" t="n">
        <f aca="false">D25*$C$9</f>
        <v>300</v>
      </c>
    </row>
    <row r="26" customFormat="false" ht="15" hidden="false" customHeight="false" outlineLevel="0" collapsed="false">
      <c r="B26" s="9" t="s">
        <v>42</v>
      </c>
      <c r="C26" s="30" t="n">
        <v>60</v>
      </c>
      <c r="D26" s="32" t="n">
        <f aca="false">INT(($C$10*60)/C26)</f>
        <v>12</v>
      </c>
      <c r="E26" s="32" t="n">
        <f aca="false">D26*$C$9</f>
        <v>300</v>
      </c>
    </row>
    <row r="27" customFormat="false" ht="15" hidden="false" customHeight="false" outlineLevel="0" collapsed="false">
      <c r="B27" s="9" t="s">
        <v>43</v>
      </c>
      <c r="C27" s="30" t="n">
        <v>60</v>
      </c>
      <c r="D27" s="32" t="n">
        <f aca="false">INT(($C$10*60)/C27)</f>
        <v>12</v>
      </c>
      <c r="E27" s="32" t="n">
        <f aca="false">D27*$C$9</f>
        <v>300</v>
      </c>
    </row>
    <row r="28" customFormat="false" ht="15" hidden="false" customHeight="false" outlineLevel="0" collapsed="false">
      <c r="B28" s="28" t="s">
        <v>97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4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7" min="6" style="1" width="14"/>
  </cols>
  <sheetData>
    <row r="1" customFormat="false" ht="24" hidden="false" customHeight="true" outlineLevel="0" collapsed="false">
      <c r="A1" s="2" t="s">
        <v>98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99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8" t="s">
        <v>100</v>
      </c>
      <c r="B3" s="8" t="s">
        <v>101</v>
      </c>
      <c r="C3" s="8" t="s">
        <v>102</v>
      </c>
      <c r="D3" s="8" t="s">
        <v>103</v>
      </c>
      <c r="E3" s="8" t="s">
        <v>104</v>
      </c>
      <c r="F3" s="8" t="s">
        <v>63</v>
      </c>
      <c r="G3" s="8" t="s">
        <v>105</v>
      </c>
    </row>
    <row r="4" customFormat="false" ht="15" hidden="false" customHeight="false" outlineLevel="0" collapsed="false">
      <c r="A4" s="33" t="n">
        <v>46237</v>
      </c>
      <c r="B4" s="34" t="s">
        <v>73</v>
      </c>
      <c r="C4" s="35" t="s">
        <v>14</v>
      </c>
      <c r="D4" s="35" t="s">
        <v>106</v>
      </c>
      <c r="E4" s="35" t="s">
        <v>68</v>
      </c>
      <c r="F4" s="36" t="n">
        <v>2628000</v>
      </c>
      <c r="G4" s="37" t="n">
        <f aca="false">IF(F4="","",F4/Parámetros!$C$8)</f>
        <v>1752</v>
      </c>
    </row>
    <row r="5" customFormat="false" ht="15" hidden="false" customHeight="false" outlineLevel="0" collapsed="false">
      <c r="A5" s="33" t="n">
        <v>46237</v>
      </c>
      <c r="B5" s="34" t="s">
        <v>73</v>
      </c>
      <c r="C5" s="35" t="s">
        <v>15</v>
      </c>
      <c r="D5" s="35" t="s">
        <v>107</v>
      </c>
      <c r="E5" s="35" t="s">
        <v>66</v>
      </c>
      <c r="F5" s="36" t="n">
        <v>438000</v>
      </c>
      <c r="G5" s="37" t="n">
        <f aca="false">IF(F5="","",F5/Parámetros!$C$8)</f>
        <v>292</v>
      </c>
    </row>
    <row r="6" customFormat="false" ht="15" hidden="false" customHeight="false" outlineLevel="0" collapsed="false">
      <c r="A6" s="33" t="n">
        <v>46237</v>
      </c>
      <c r="B6" s="34" t="s">
        <v>73</v>
      </c>
      <c r="C6" s="35" t="s">
        <v>17</v>
      </c>
      <c r="D6" s="35" t="s">
        <v>108</v>
      </c>
      <c r="E6" s="35" t="s">
        <v>64</v>
      </c>
      <c r="F6" s="36" t="n">
        <v>375000</v>
      </c>
      <c r="G6" s="37" t="n">
        <f aca="false">IF(F6="","",F6/Parámetros!$C$8)</f>
        <v>250</v>
      </c>
    </row>
    <row r="7" customFormat="false" ht="15" hidden="false" customHeight="false" outlineLevel="0" collapsed="false">
      <c r="A7" s="33" t="n">
        <v>46237</v>
      </c>
      <c r="B7" s="34" t="s">
        <v>75</v>
      </c>
      <c r="C7" s="35" t="s">
        <v>72</v>
      </c>
      <c r="D7" s="35" t="s">
        <v>109</v>
      </c>
      <c r="E7" s="35" t="s">
        <v>64</v>
      </c>
      <c r="F7" s="36" t="n">
        <v>45000</v>
      </c>
      <c r="G7" s="37" t="n">
        <f aca="false">IF(F7="","",F7/Parámetros!$C$8)</f>
        <v>30</v>
      </c>
    </row>
    <row r="8" customFormat="false" ht="15" hidden="false" customHeight="false" outlineLevel="0" collapsed="false">
      <c r="A8" s="33" t="n">
        <v>46238</v>
      </c>
      <c r="B8" s="34" t="s">
        <v>73</v>
      </c>
      <c r="C8" s="35" t="s">
        <v>16</v>
      </c>
      <c r="D8" s="35" t="s">
        <v>110</v>
      </c>
      <c r="E8" s="35" t="s">
        <v>66</v>
      </c>
      <c r="F8" s="36" t="n">
        <v>2227500</v>
      </c>
      <c r="G8" s="37" t="n">
        <f aca="false">IF(F8="","",F8/Parámetros!$C$8)</f>
        <v>1485</v>
      </c>
    </row>
    <row r="9" customFormat="false" ht="15" hidden="false" customHeight="false" outlineLevel="0" collapsed="false">
      <c r="A9" s="33" t="n">
        <v>46238</v>
      </c>
      <c r="B9" s="34" t="s">
        <v>73</v>
      </c>
      <c r="C9" s="35" t="s">
        <v>15</v>
      </c>
      <c r="D9" s="35" t="s">
        <v>111</v>
      </c>
      <c r="E9" s="35" t="s">
        <v>64</v>
      </c>
      <c r="F9" s="36" t="n">
        <v>168000</v>
      </c>
      <c r="G9" s="37" t="n">
        <f aca="false">IF(F9="","",F9/Parámetros!$C$8)</f>
        <v>112</v>
      </c>
    </row>
    <row r="10" customFormat="false" ht="15" hidden="false" customHeight="false" outlineLevel="0" collapsed="false">
      <c r="A10" s="33" t="n">
        <v>46238</v>
      </c>
      <c r="B10" s="34" t="s">
        <v>75</v>
      </c>
      <c r="C10" s="35" t="s">
        <v>74</v>
      </c>
      <c r="D10" s="35" t="s">
        <v>112</v>
      </c>
      <c r="E10" s="35" t="s">
        <v>64</v>
      </c>
      <c r="F10" s="36" t="n">
        <v>30000</v>
      </c>
      <c r="G10" s="37" t="n">
        <f aca="false">IF(F10="","",F10/Parámetros!$C$8)</f>
        <v>20</v>
      </c>
    </row>
    <row r="11" customFormat="false" ht="15" hidden="false" customHeight="false" outlineLevel="0" collapsed="false">
      <c r="A11" s="33"/>
      <c r="B11" s="34"/>
      <c r="C11" s="35"/>
      <c r="D11" s="35"/>
      <c r="E11" s="35"/>
      <c r="F11" s="36"/>
      <c r="G11" s="37" t="str">
        <f aca="false">IF(F11="","",F11/Parámetros!$C$8)</f>
        <v/>
      </c>
    </row>
    <row r="12" customFormat="false" ht="15" hidden="false" customHeight="false" outlineLevel="0" collapsed="false">
      <c r="A12" s="33"/>
      <c r="B12" s="34"/>
      <c r="C12" s="35"/>
      <c r="D12" s="35"/>
      <c r="E12" s="35"/>
      <c r="F12" s="36"/>
      <c r="G12" s="37" t="str">
        <f aca="false">IF(F12="","",F12/Parámetros!$C$8)</f>
        <v/>
      </c>
    </row>
    <row r="13" customFormat="false" ht="15" hidden="false" customHeight="false" outlineLevel="0" collapsed="false">
      <c r="A13" s="33"/>
      <c r="B13" s="34"/>
      <c r="C13" s="35"/>
      <c r="D13" s="35"/>
      <c r="E13" s="35"/>
      <c r="F13" s="36"/>
      <c r="G13" s="37" t="str">
        <f aca="false">IF(F13="","",F13/Parámetros!$C$8)</f>
        <v/>
      </c>
    </row>
    <row r="14" customFormat="false" ht="15" hidden="false" customHeight="false" outlineLevel="0" collapsed="false">
      <c r="A14" s="33"/>
      <c r="B14" s="34"/>
      <c r="C14" s="35"/>
      <c r="D14" s="35"/>
      <c r="E14" s="35"/>
      <c r="F14" s="36"/>
      <c r="G14" s="37" t="str">
        <f aca="false">IF(F14="","",F14/Parámetros!$C$8)</f>
        <v/>
      </c>
    </row>
    <row r="15" customFormat="false" ht="15" hidden="false" customHeight="false" outlineLevel="0" collapsed="false">
      <c r="A15" s="33"/>
      <c r="B15" s="34"/>
      <c r="C15" s="35"/>
      <c r="D15" s="35"/>
      <c r="E15" s="35"/>
      <c r="F15" s="36"/>
      <c r="G15" s="37" t="str">
        <f aca="false">IF(F15="","",F15/Parámetros!$C$8)</f>
        <v/>
      </c>
    </row>
    <row r="16" customFormat="false" ht="15" hidden="false" customHeight="false" outlineLevel="0" collapsed="false">
      <c r="A16" s="33"/>
      <c r="B16" s="34"/>
      <c r="C16" s="35"/>
      <c r="D16" s="35"/>
      <c r="E16" s="35"/>
      <c r="F16" s="36"/>
      <c r="G16" s="37" t="str">
        <f aca="false">IF(F16="","",F16/Parámetros!$C$8)</f>
        <v/>
      </c>
    </row>
    <row r="17" customFormat="false" ht="15" hidden="false" customHeight="false" outlineLevel="0" collapsed="false">
      <c r="A17" s="33"/>
      <c r="B17" s="34"/>
      <c r="C17" s="35"/>
      <c r="D17" s="35"/>
      <c r="E17" s="35"/>
      <c r="F17" s="36"/>
      <c r="G17" s="37" t="str">
        <f aca="false">IF(F17="","",F17/Parámetros!$C$8)</f>
        <v/>
      </c>
    </row>
    <row r="18" customFormat="false" ht="15" hidden="false" customHeight="false" outlineLevel="0" collapsed="false">
      <c r="A18" s="33"/>
      <c r="B18" s="34"/>
      <c r="C18" s="35"/>
      <c r="D18" s="35"/>
      <c r="E18" s="35"/>
      <c r="F18" s="36"/>
      <c r="G18" s="37" t="str">
        <f aca="false">IF(F18="","",F18/Parámetros!$C$8)</f>
        <v/>
      </c>
    </row>
    <row r="19" customFormat="false" ht="15" hidden="false" customHeight="false" outlineLevel="0" collapsed="false">
      <c r="A19" s="33"/>
      <c r="B19" s="34"/>
      <c r="C19" s="35"/>
      <c r="D19" s="35"/>
      <c r="E19" s="35"/>
      <c r="F19" s="36"/>
      <c r="G19" s="37" t="str">
        <f aca="false">IF(F19="","",F19/Parámetros!$C$8)</f>
        <v/>
      </c>
    </row>
    <row r="20" customFormat="false" ht="15" hidden="false" customHeight="false" outlineLevel="0" collapsed="false">
      <c r="A20" s="33"/>
      <c r="B20" s="34"/>
      <c r="C20" s="35"/>
      <c r="D20" s="35"/>
      <c r="E20" s="35"/>
      <c r="F20" s="36"/>
      <c r="G20" s="37" t="str">
        <f aca="false">IF(F20="","",F20/Parámetros!$C$8)</f>
        <v/>
      </c>
    </row>
    <row r="21" customFormat="false" ht="15" hidden="false" customHeight="false" outlineLevel="0" collapsed="false">
      <c r="A21" s="33"/>
      <c r="B21" s="34"/>
      <c r="C21" s="35"/>
      <c r="D21" s="35"/>
      <c r="E21" s="35"/>
      <c r="F21" s="36"/>
      <c r="G21" s="37" t="str">
        <f aca="false">IF(F21="","",F21/Parámetros!$C$8)</f>
        <v/>
      </c>
    </row>
    <row r="22" customFormat="false" ht="15" hidden="false" customHeight="false" outlineLevel="0" collapsed="false">
      <c r="A22" s="33"/>
      <c r="B22" s="34"/>
      <c r="C22" s="35"/>
      <c r="D22" s="35"/>
      <c r="E22" s="35"/>
      <c r="F22" s="36"/>
      <c r="G22" s="37" t="str">
        <f aca="false">IF(F22="","",F22/Parámetros!$C$8)</f>
        <v/>
      </c>
    </row>
    <row r="23" customFormat="false" ht="15" hidden="false" customHeight="false" outlineLevel="0" collapsed="false">
      <c r="A23" s="33"/>
      <c r="B23" s="34"/>
      <c r="C23" s="35"/>
      <c r="D23" s="35"/>
      <c r="E23" s="35"/>
      <c r="F23" s="36"/>
      <c r="G23" s="37" t="str">
        <f aca="false">IF(F23="","",F23/Parámetros!$C$8)</f>
        <v/>
      </c>
    </row>
    <row r="24" customFormat="false" ht="15" hidden="false" customHeight="false" outlineLevel="0" collapsed="false">
      <c r="A24" s="33"/>
      <c r="B24" s="34"/>
      <c r="C24" s="35"/>
      <c r="D24" s="35"/>
      <c r="E24" s="35"/>
      <c r="F24" s="36"/>
      <c r="G24" s="37" t="str">
        <f aca="false">IF(F24="","",F24/Parámetros!$C$8)</f>
        <v/>
      </c>
    </row>
    <row r="25" customFormat="false" ht="15" hidden="false" customHeight="false" outlineLevel="0" collapsed="false">
      <c r="A25" s="33"/>
      <c r="B25" s="34"/>
      <c r="C25" s="35"/>
      <c r="D25" s="35"/>
      <c r="E25" s="35"/>
      <c r="F25" s="36"/>
      <c r="G25" s="37" t="str">
        <f aca="false">IF(F25="","",F25/Parámetros!$C$8)</f>
        <v/>
      </c>
    </row>
    <row r="26" customFormat="false" ht="15" hidden="false" customHeight="false" outlineLevel="0" collapsed="false">
      <c r="A26" s="33"/>
      <c r="B26" s="34"/>
      <c r="C26" s="35"/>
      <c r="D26" s="35"/>
      <c r="E26" s="35"/>
      <c r="F26" s="36"/>
      <c r="G26" s="37" t="str">
        <f aca="false">IF(F26="","",F26/Parámetros!$C$8)</f>
        <v/>
      </c>
    </row>
    <row r="27" customFormat="false" ht="15" hidden="false" customHeight="false" outlineLevel="0" collapsed="false">
      <c r="A27" s="33"/>
      <c r="B27" s="34"/>
      <c r="C27" s="35"/>
      <c r="D27" s="35"/>
      <c r="E27" s="35"/>
      <c r="F27" s="36"/>
      <c r="G27" s="37" t="str">
        <f aca="false">IF(F27="","",F27/Parámetros!$C$8)</f>
        <v/>
      </c>
    </row>
    <row r="28" customFormat="false" ht="15" hidden="false" customHeight="false" outlineLevel="0" collapsed="false">
      <c r="A28" s="33"/>
      <c r="B28" s="34"/>
      <c r="C28" s="35"/>
      <c r="D28" s="35"/>
      <c r="E28" s="35"/>
      <c r="F28" s="36"/>
      <c r="G28" s="37" t="str">
        <f aca="false">IF(F28="","",F28/Parámetros!$C$8)</f>
        <v/>
      </c>
    </row>
    <row r="29" customFormat="false" ht="15" hidden="false" customHeight="false" outlineLevel="0" collapsed="false">
      <c r="A29" s="33"/>
      <c r="B29" s="34"/>
      <c r="C29" s="35"/>
      <c r="D29" s="35"/>
      <c r="E29" s="35"/>
      <c r="F29" s="36"/>
      <c r="G29" s="37" t="str">
        <f aca="false">IF(F29="","",F29/Parámetros!$C$8)</f>
        <v/>
      </c>
    </row>
    <row r="30" customFormat="false" ht="15" hidden="false" customHeight="false" outlineLevel="0" collapsed="false">
      <c r="A30" s="33"/>
      <c r="B30" s="34"/>
      <c r="C30" s="35"/>
      <c r="D30" s="35"/>
      <c r="E30" s="35"/>
      <c r="F30" s="36"/>
      <c r="G30" s="37" t="str">
        <f aca="false">IF(F30="","",F30/Parámetros!$C$8)</f>
        <v/>
      </c>
    </row>
    <row r="31" customFormat="false" ht="15" hidden="false" customHeight="false" outlineLevel="0" collapsed="false">
      <c r="A31" s="33"/>
      <c r="B31" s="34"/>
      <c r="C31" s="35"/>
      <c r="D31" s="35"/>
      <c r="E31" s="35"/>
      <c r="F31" s="36"/>
      <c r="G31" s="37" t="str">
        <f aca="false">IF(F31="","",F31/Parámetros!$C$8)</f>
        <v/>
      </c>
    </row>
    <row r="32" customFormat="false" ht="15" hidden="false" customHeight="false" outlineLevel="0" collapsed="false">
      <c r="A32" s="33"/>
      <c r="B32" s="34"/>
      <c r="C32" s="35"/>
      <c r="D32" s="35"/>
      <c r="E32" s="35"/>
      <c r="F32" s="36"/>
      <c r="G32" s="37" t="str">
        <f aca="false">IF(F32="","",F32/Parámetros!$C$8)</f>
        <v/>
      </c>
    </row>
    <row r="33" customFormat="false" ht="15" hidden="false" customHeight="false" outlineLevel="0" collapsed="false">
      <c r="A33" s="33"/>
      <c r="B33" s="34"/>
      <c r="C33" s="35"/>
      <c r="D33" s="35"/>
      <c r="E33" s="35"/>
      <c r="F33" s="36"/>
      <c r="G33" s="37" t="str">
        <f aca="false">IF(F33="","",F33/Parámetros!$C$8)</f>
        <v/>
      </c>
    </row>
    <row r="34" customFormat="false" ht="15" hidden="false" customHeight="false" outlineLevel="0" collapsed="false">
      <c r="A34" s="33"/>
      <c r="B34" s="34"/>
      <c r="C34" s="35"/>
      <c r="D34" s="35"/>
      <c r="E34" s="35"/>
      <c r="F34" s="36"/>
      <c r="G34" s="37" t="str">
        <f aca="false">IF(F34="","",F34/Parámetros!$C$8)</f>
        <v/>
      </c>
    </row>
    <row r="35" customFormat="false" ht="15" hidden="false" customHeight="false" outlineLevel="0" collapsed="false">
      <c r="A35" s="33"/>
      <c r="B35" s="34"/>
      <c r="C35" s="35"/>
      <c r="D35" s="35"/>
      <c r="E35" s="35"/>
      <c r="F35" s="36"/>
      <c r="G35" s="37" t="str">
        <f aca="false">IF(F35="","",F35/Parámetros!$C$8)</f>
        <v/>
      </c>
    </row>
    <row r="36" customFormat="false" ht="15" hidden="false" customHeight="false" outlineLevel="0" collapsed="false">
      <c r="A36" s="33"/>
      <c r="B36" s="34"/>
      <c r="C36" s="35"/>
      <c r="D36" s="35"/>
      <c r="E36" s="35"/>
      <c r="F36" s="36"/>
      <c r="G36" s="37" t="str">
        <f aca="false">IF(F36="","",F36/Parámetros!$C$8)</f>
        <v/>
      </c>
    </row>
    <row r="37" customFormat="false" ht="15" hidden="false" customHeight="false" outlineLevel="0" collapsed="false">
      <c r="A37" s="33"/>
      <c r="B37" s="34"/>
      <c r="C37" s="35"/>
      <c r="D37" s="35"/>
      <c r="E37" s="35"/>
      <c r="F37" s="36"/>
      <c r="G37" s="37" t="str">
        <f aca="false">IF(F37="","",F37/Parámetros!$C$8)</f>
        <v/>
      </c>
    </row>
    <row r="38" customFormat="false" ht="15" hidden="false" customHeight="false" outlineLevel="0" collapsed="false">
      <c r="A38" s="33"/>
      <c r="B38" s="34"/>
      <c r="C38" s="35"/>
      <c r="D38" s="35"/>
      <c r="E38" s="35"/>
      <c r="F38" s="36"/>
      <c r="G38" s="37" t="str">
        <f aca="false">IF(F38="","",F38/Parámetros!$C$8)</f>
        <v/>
      </c>
    </row>
    <row r="39" customFormat="false" ht="15" hidden="false" customHeight="false" outlineLevel="0" collapsed="false">
      <c r="A39" s="33"/>
      <c r="B39" s="34"/>
      <c r="C39" s="35"/>
      <c r="D39" s="35"/>
      <c r="E39" s="35"/>
      <c r="F39" s="36"/>
      <c r="G39" s="37" t="str">
        <f aca="false">IF(F39="","",F39/Parámetros!$C$8)</f>
        <v/>
      </c>
    </row>
    <row r="40" customFormat="false" ht="15" hidden="false" customHeight="false" outlineLevel="0" collapsed="false">
      <c r="A40" s="33"/>
      <c r="B40" s="34"/>
      <c r="C40" s="35"/>
      <c r="D40" s="35"/>
      <c r="E40" s="35"/>
      <c r="F40" s="36"/>
      <c r="G40" s="37" t="str">
        <f aca="false">IF(F40="","",F40/Parámetros!$C$8)</f>
        <v/>
      </c>
    </row>
    <row r="41" customFormat="false" ht="15" hidden="false" customHeight="false" outlineLevel="0" collapsed="false">
      <c r="A41" s="33"/>
      <c r="B41" s="34"/>
      <c r="C41" s="35"/>
      <c r="D41" s="35"/>
      <c r="E41" s="35"/>
      <c r="F41" s="36"/>
      <c r="G41" s="37" t="str">
        <f aca="false">IF(F41="","",F41/Parámetros!$C$8)</f>
        <v/>
      </c>
    </row>
    <row r="42" customFormat="false" ht="15" hidden="false" customHeight="false" outlineLevel="0" collapsed="false">
      <c r="A42" s="33"/>
      <c r="B42" s="34"/>
      <c r="C42" s="35"/>
      <c r="D42" s="35"/>
      <c r="E42" s="35"/>
      <c r="F42" s="36"/>
      <c r="G42" s="37" t="str">
        <f aca="false">IF(F42="","",F42/Parámetros!$C$8)</f>
        <v/>
      </c>
    </row>
    <row r="43" customFormat="false" ht="15" hidden="false" customHeight="false" outlineLevel="0" collapsed="false">
      <c r="A43" s="33"/>
      <c r="B43" s="34"/>
      <c r="C43" s="35"/>
      <c r="D43" s="35"/>
      <c r="E43" s="35"/>
      <c r="F43" s="36"/>
      <c r="G43" s="37" t="str">
        <f aca="false">IF(F43="","",F43/Parámetros!$C$8)</f>
        <v/>
      </c>
    </row>
    <row r="44" customFormat="false" ht="15" hidden="false" customHeight="false" outlineLevel="0" collapsed="false">
      <c r="A44" s="33"/>
      <c r="B44" s="34"/>
      <c r="C44" s="35"/>
      <c r="D44" s="35"/>
      <c r="E44" s="35"/>
      <c r="F44" s="36"/>
      <c r="G44" s="37" t="str">
        <f aca="false">IF(F44="","",F44/Parámetros!$C$8)</f>
        <v/>
      </c>
    </row>
    <row r="45" customFormat="false" ht="15" hidden="false" customHeight="false" outlineLevel="0" collapsed="false">
      <c r="A45" s="33"/>
      <c r="B45" s="34"/>
      <c r="C45" s="35"/>
      <c r="D45" s="35"/>
      <c r="E45" s="35"/>
      <c r="F45" s="36"/>
      <c r="G45" s="37" t="str">
        <f aca="false">IF(F45="","",F45/Parámetros!$C$8)</f>
        <v/>
      </c>
    </row>
    <row r="46" customFormat="false" ht="15" hidden="false" customHeight="false" outlineLevel="0" collapsed="false">
      <c r="A46" s="33"/>
      <c r="B46" s="34"/>
      <c r="C46" s="35"/>
      <c r="D46" s="35"/>
      <c r="E46" s="35"/>
      <c r="F46" s="36"/>
      <c r="G46" s="37" t="str">
        <f aca="false">IF(F46="","",F46/Parámetros!$C$8)</f>
        <v/>
      </c>
    </row>
    <row r="47" customFormat="false" ht="15" hidden="false" customHeight="false" outlineLevel="0" collapsed="false">
      <c r="A47" s="33"/>
      <c r="B47" s="34"/>
      <c r="C47" s="35"/>
      <c r="D47" s="35"/>
      <c r="E47" s="35"/>
      <c r="F47" s="36"/>
      <c r="G47" s="37" t="str">
        <f aca="false">IF(F47="","",F47/Parámetros!$C$8)</f>
        <v/>
      </c>
    </row>
    <row r="48" customFormat="false" ht="15" hidden="false" customHeight="false" outlineLevel="0" collapsed="false">
      <c r="A48" s="33"/>
      <c r="B48" s="34"/>
      <c r="C48" s="35"/>
      <c r="D48" s="35"/>
      <c r="E48" s="35"/>
      <c r="F48" s="36"/>
      <c r="G48" s="37" t="str">
        <f aca="false">IF(F48="","",F48/Parámetros!$C$8)</f>
        <v/>
      </c>
    </row>
    <row r="49" customFormat="false" ht="15" hidden="false" customHeight="false" outlineLevel="0" collapsed="false">
      <c r="A49" s="33"/>
      <c r="B49" s="34"/>
      <c r="C49" s="35"/>
      <c r="D49" s="35"/>
      <c r="E49" s="35"/>
      <c r="F49" s="36"/>
      <c r="G49" s="37" t="str">
        <f aca="false">IF(F49="","",F49/Parámetros!$C$8)</f>
        <v/>
      </c>
    </row>
    <row r="50" customFormat="false" ht="15" hidden="false" customHeight="false" outlineLevel="0" collapsed="false">
      <c r="A50" s="33"/>
      <c r="B50" s="34"/>
      <c r="C50" s="35"/>
      <c r="D50" s="35"/>
      <c r="E50" s="35"/>
      <c r="F50" s="36"/>
      <c r="G50" s="37" t="str">
        <f aca="false">IF(F50="","",F50/Parámetros!$C$8)</f>
        <v/>
      </c>
    </row>
    <row r="51" customFormat="false" ht="15" hidden="false" customHeight="false" outlineLevel="0" collapsed="false">
      <c r="A51" s="33"/>
      <c r="B51" s="34"/>
      <c r="C51" s="35"/>
      <c r="D51" s="35"/>
      <c r="E51" s="35"/>
      <c r="F51" s="36"/>
      <c r="G51" s="37" t="str">
        <f aca="false">IF(F51="","",F51/Parámetros!$C$8)</f>
        <v/>
      </c>
    </row>
    <row r="52" customFormat="false" ht="15" hidden="false" customHeight="false" outlineLevel="0" collapsed="false">
      <c r="A52" s="33"/>
      <c r="B52" s="34"/>
      <c r="C52" s="35"/>
      <c r="D52" s="35"/>
      <c r="E52" s="35"/>
      <c r="F52" s="36"/>
      <c r="G52" s="37" t="str">
        <f aca="false">IF(F52="","",F52/Parámetros!$C$8)</f>
        <v/>
      </c>
    </row>
    <row r="53" customFormat="false" ht="15" hidden="false" customHeight="false" outlineLevel="0" collapsed="false">
      <c r="A53" s="33"/>
      <c r="B53" s="34"/>
      <c r="C53" s="35"/>
      <c r="D53" s="35"/>
      <c r="E53" s="35"/>
      <c r="F53" s="36"/>
      <c r="G53" s="37" t="str">
        <f aca="false">IF(F53="","",F53/Parámetros!$C$8)</f>
        <v/>
      </c>
    </row>
    <row r="54" customFormat="false" ht="15" hidden="false" customHeight="false" outlineLevel="0" collapsed="false">
      <c r="A54" s="33"/>
      <c r="B54" s="34"/>
      <c r="C54" s="35"/>
      <c r="D54" s="35"/>
      <c r="E54" s="35"/>
      <c r="F54" s="36"/>
      <c r="G54" s="37" t="str">
        <f aca="false">IF(F54="","",F54/Parámetros!$C$8)</f>
        <v/>
      </c>
    </row>
    <row r="55" customFormat="false" ht="15" hidden="false" customHeight="false" outlineLevel="0" collapsed="false">
      <c r="A55" s="33"/>
      <c r="B55" s="34"/>
      <c r="C55" s="35"/>
      <c r="D55" s="35"/>
      <c r="E55" s="35"/>
      <c r="F55" s="36"/>
      <c r="G55" s="37" t="str">
        <f aca="false">IF(F55="","",F55/Parámetros!$C$8)</f>
        <v/>
      </c>
    </row>
    <row r="56" customFormat="false" ht="15" hidden="false" customHeight="false" outlineLevel="0" collapsed="false">
      <c r="A56" s="33"/>
      <c r="B56" s="34"/>
      <c r="C56" s="35"/>
      <c r="D56" s="35"/>
      <c r="E56" s="35"/>
      <c r="F56" s="36"/>
      <c r="G56" s="37" t="str">
        <f aca="false">IF(F56="","",F56/Parámetros!$C$8)</f>
        <v/>
      </c>
    </row>
    <row r="57" customFormat="false" ht="15" hidden="false" customHeight="false" outlineLevel="0" collapsed="false">
      <c r="A57" s="33"/>
      <c r="B57" s="34"/>
      <c r="C57" s="35"/>
      <c r="D57" s="35"/>
      <c r="E57" s="35"/>
      <c r="F57" s="36"/>
      <c r="G57" s="37" t="str">
        <f aca="false">IF(F57="","",F57/Parámetros!$C$8)</f>
        <v/>
      </c>
    </row>
    <row r="58" customFormat="false" ht="15" hidden="false" customHeight="false" outlineLevel="0" collapsed="false">
      <c r="A58" s="33"/>
      <c r="B58" s="34"/>
      <c r="C58" s="35"/>
      <c r="D58" s="35"/>
      <c r="E58" s="35"/>
      <c r="F58" s="36"/>
      <c r="G58" s="37" t="str">
        <f aca="false">IF(F58="","",F58/Parámetros!$C$8)</f>
        <v/>
      </c>
    </row>
    <row r="59" customFormat="false" ht="15" hidden="false" customHeight="false" outlineLevel="0" collapsed="false">
      <c r="A59" s="33"/>
      <c r="B59" s="34"/>
      <c r="C59" s="35"/>
      <c r="D59" s="35"/>
      <c r="E59" s="35"/>
      <c r="F59" s="36"/>
      <c r="G59" s="37" t="str">
        <f aca="false">IF(F59="","",F59/Parámetros!$C$8)</f>
        <v/>
      </c>
    </row>
    <row r="60" customFormat="false" ht="15" hidden="false" customHeight="false" outlineLevel="0" collapsed="false">
      <c r="A60" s="33"/>
      <c r="B60" s="34"/>
      <c r="C60" s="35"/>
      <c r="D60" s="35"/>
      <c r="E60" s="35"/>
      <c r="F60" s="36"/>
      <c r="G60" s="37" t="str">
        <f aca="false">IF(F60="","",F60/Parámetros!$C$8)</f>
        <v/>
      </c>
    </row>
    <row r="61" customFormat="false" ht="15" hidden="false" customHeight="false" outlineLevel="0" collapsed="false">
      <c r="A61" s="33"/>
      <c r="B61" s="34"/>
      <c r="C61" s="35"/>
      <c r="D61" s="35"/>
      <c r="E61" s="35"/>
      <c r="F61" s="36"/>
      <c r="G61" s="37" t="str">
        <f aca="false">IF(F61="","",F61/Parámetros!$C$8)</f>
        <v/>
      </c>
    </row>
    <row r="62" customFormat="false" ht="15" hidden="false" customHeight="false" outlineLevel="0" collapsed="false">
      <c r="A62" s="33"/>
      <c r="B62" s="34"/>
      <c r="C62" s="35"/>
      <c r="D62" s="35"/>
      <c r="E62" s="35"/>
      <c r="F62" s="36"/>
      <c r="G62" s="37" t="str">
        <f aca="false">IF(F62="","",F62/Parámetros!$C$8)</f>
        <v/>
      </c>
    </row>
    <row r="63" customFormat="false" ht="15" hidden="false" customHeight="false" outlineLevel="0" collapsed="false">
      <c r="A63" s="33"/>
      <c r="B63" s="34"/>
      <c r="C63" s="35"/>
      <c r="D63" s="35"/>
      <c r="E63" s="35"/>
      <c r="F63" s="36"/>
      <c r="G63" s="37" t="str">
        <f aca="false">IF(F63="","",F63/Parámetros!$C$8)</f>
        <v/>
      </c>
    </row>
    <row r="64" customFormat="false" ht="15" hidden="false" customHeight="false" outlineLevel="0" collapsed="false">
      <c r="A64" s="33"/>
      <c r="B64" s="34"/>
      <c r="C64" s="35"/>
      <c r="D64" s="35"/>
      <c r="E64" s="35"/>
      <c r="F64" s="36"/>
      <c r="G64" s="37" t="str">
        <f aca="false">IF(F64="","",F64/Parámetros!$C$8)</f>
        <v/>
      </c>
    </row>
    <row r="65" customFormat="false" ht="15" hidden="false" customHeight="false" outlineLevel="0" collapsed="false">
      <c r="A65" s="33"/>
      <c r="B65" s="34"/>
      <c r="C65" s="35"/>
      <c r="D65" s="35"/>
      <c r="E65" s="35"/>
      <c r="F65" s="36"/>
      <c r="G65" s="37" t="str">
        <f aca="false">IF(F65="","",F65/Parámetros!$C$8)</f>
        <v/>
      </c>
    </row>
    <row r="66" customFormat="false" ht="15" hidden="false" customHeight="false" outlineLevel="0" collapsed="false">
      <c r="A66" s="33"/>
      <c r="B66" s="34"/>
      <c r="C66" s="35"/>
      <c r="D66" s="35"/>
      <c r="E66" s="35"/>
      <c r="F66" s="36"/>
      <c r="G66" s="37" t="str">
        <f aca="false">IF(F66="","",F66/Parámetros!$C$8)</f>
        <v/>
      </c>
    </row>
    <row r="67" customFormat="false" ht="15" hidden="false" customHeight="false" outlineLevel="0" collapsed="false">
      <c r="A67" s="33"/>
      <c r="B67" s="34"/>
      <c r="C67" s="35"/>
      <c r="D67" s="35"/>
      <c r="E67" s="35"/>
      <c r="F67" s="36"/>
      <c r="G67" s="37" t="str">
        <f aca="false">IF(F67="","",F67/Parámetros!$C$8)</f>
        <v/>
      </c>
    </row>
    <row r="68" customFormat="false" ht="15" hidden="false" customHeight="false" outlineLevel="0" collapsed="false">
      <c r="A68" s="33"/>
      <c r="B68" s="34"/>
      <c r="C68" s="35"/>
      <c r="D68" s="35"/>
      <c r="E68" s="35"/>
      <c r="F68" s="36"/>
      <c r="G68" s="37" t="str">
        <f aca="false">IF(F68="","",F68/Parámetros!$C$8)</f>
        <v/>
      </c>
    </row>
    <row r="69" customFormat="false" ht="15" hidden="false" customHeight="false" outlineLevel="0" collapsed="false">
      <c r="A69" s="33"/>
      <c r="B69" s="34"/>
      <c r="C69" s="35"/>
      <c r="D69" s="35"/>
      <c r="E69" s="35"/>
      <c r="F69" s="36"/>
      <c r="G69" s="37" t="str">
        <f aca="false">IF(F69="","",F69/Parámetros!$C$8)</f>
        <v/>
      </c>
    </row>
    <row r="70" customFormat="false" ht="15" hidden="false" customHeight="false" outlineLevel="0" collapsed="false">
      <c r="A70" s="33"/>
      <c r="B70" s="34"/>
      <c r="C70" s="35"/>
      <c r="D70" s="35"/>
      <c r="E70" s="35"/>
      <c r="F70" s="36"/>
      <c r="G70" s="37" t="str">
        <f aca="false">IF(F70="","",F70/Parámetros!$C$8)</f>
        <v/>
      </c>
    </row>
    <row r="71" customFormat="false" ht="15" hidden="false" customHeight="false" outlineLevel="0" collapsed="false">
      <c r="A71" s="33"/>
      <c r="B71" s="34"/>
      <c r="C71" s="35"/>
      <c r="D71" s="35"/>
      <c r="E71" s="35"/>
      <c r="F71" s="36"/>
      <c r="G71" s="37" t="str">
        <f aca="false">IF(F71="","",F71/Parámetros!$C$8)</f>
        <v/>
      </c>
    </row>
    <row r="72" customFormat="false" ht="15" hidden="false" customHeight="false" outlineLevel="0" collapsed="false">
      <c r="A72" s="33"/>
      <c r="B72" s="34"/>
      <c r="C72" s="35"/>
      <c r="D72" s="35"/>
      <c r="E72" s="35"/>
      <c r="F72" s="36"/>
      <c r="G72" s="37" t="str">
        <f aca="false">IF(F72="","",F72/Parámetros!$C$8)</f>
        <v/>
      </c>
    </row>
    <row r="73" customFormat="false" ht="15" hidden="false" customHeight="false" outlineLevel="0" collapsed="false">
      <c r="A73" s="33"/>
      <c r="B73" s="34"/>
      <c r="C73" s="35"/>
      <c r="D73" s="35"/>
      <c r="E73" s="35"/>
      <c r="F73" s="36"/>
      <c r="G73" s="37" t="str">
        <f aca="false">IF(F73="","",F73/Parámetros!$C$8)</f>
        <v/>
      </c>
    </row>
    <row r="74" customFormat="false" ht="15" hidden="false" customHeight="false" outlineLevel="0" collapsed="false">
      <c r="A74" s="33"/>
      <c r="B74" s="34"/>
      <c r="C74" s="35"/>
      <c r="D74" s="35"/>
      <c r="E74" s="35"/>
      <c r="F74" s="36"/>
      <c r="G74" s="37" t="str">
        <f aca="false">IF(F74="","",F74/Parámetros!$C$8)</f>
        <v/>
      </c>
    </row>
    <row r="75" customFormat="false" ht="15" hidden="false" customHeight="false" outlineLevel="0" collapsed="false">
      <c r="A75" s="33"/>
      <c r="B75" s="34"/>
      <c r="C75" s="35"/>
      <c r="D75" s="35"/>
      <c r="E75" s="35"/>
      <c r="F75" s="36"/>
      <c r="G75" s="37" t="str">
        <f aca="false">IF(F75="","",F75/Parámetros!$C$8)</f>
        <v/>
      </c>
    </row>
    <row r="76" customFormat="false" ht="15" hidden="false" customHeight="false" outlineLevel="0" collapsed="false">
      <c r="A76" s="33"/>
      <c r="B76" s="34"/>
      <c r="C76" s="35"/>
      <c r="D76" s="35"/>
      <c r="E76" s="35"/>
      <c r="F76" s="36"/>
      <c r="G76" s="37" t="str">
        <f aca="false">IF(F76="","",F76/Parámetros!$C$8)</f>
        <v/>
      </c>
    </row>
    <row r="77" customFormat="false" ht="15" hidden="false" customHeight="false" outlineLevel="0" collapsed="false">
      <c r="A77" s="33"/>
      <c r="B77" s="34"/>
      <c r="C77" s="35"/>
      <c r="D77" s="35"/>
      <c r="E77" s="35"/>
      <c r="F77" s="36"/>
      <c r="G77" s="37" t="str">
        <f aca="false">IF(F77="","",F77/Parámetros!$C$8)</f>
        <v/>
      </c>
    </row>
    <row r="78" customFormat="false" ht="15" hidden="false" customHeight="false" outlineLevel="0" collapsed="false">
      <c r="A78" s="33"/>
      <c r="B78" s="34"/>
      <c r="C78" s="35"/>
      <c r="D78" s="35"/>
      <c r="E78" s="35"/>
      <c r="F78" s="36"/>
      <c r="G78" s="37" t="str">
        <f aca="false">IF(F78="","",F78/Parámetros!$C$8)</f>
        <v/>
      </c>
    </row>
    <row r="79" customFormat="false" ht="15" hidden="false" customHeight="false" outlineLevel="0" collapsed="false">
      <c r="A79" s="33"/>
      <c r="B79" s="34"/>
      <c r="C79" s="35"/>
      <c r="D79" s="35"/>
      <c r="E79" s="35"/>
      <c r="F79" s="36"/>
      <c r="G79" s="37" t="str">
        <f aca="false">IF(F79="","",F79/Parámetros!$C$8)</f>
        <v/>
      </c>
    </row>
    <row r="80" customFormat="false" ht="15" hidden="false" customHeight="false" outlineLevel="0" collapsed="false">
      <c r="A80" s="33"/>
      <c r="B80" s="34"/>
      <c r="C80" s="35"/>
      <c r="D80" s="35"/>
      <c r="E80" s="35"/>
      <c r="F80" s="36"/>
      <c r="G80" s="37" t="str">
        <f aca="false">IF(F80="","",F80/Parámetros!$C$8)</f>
        <v/>
      </c>
    </row>
    <row r="81" customFormat="false" ht="15" hidden="false" customHeight="false" outlineLevel="0" collapsed="false">
      <c r="A81" s="33"/>
      <c r="B81" s="34"/>
      <c r="C81" s="35"/>
      <c r="D81" s="35"/>
      <c r="E81" s="35"/>
      <c r="F81" s="36"/>
      <c r="G81" s="37" t="str">
        <f aca="false">IF(F81="","",F81/Parámetros!$C$8)</f>
        <v/>
      </c>
    </row>
    <row r="82" customFormat="false" ht="15" hidden="false" customHeight="false" outlineLevel="0" collapsed="false">
      <c r="A82" s="33"/>
      <c r="B82" s="34"/>
      <c r="C82" s="35"/>
      <c r="D82" s="35"/>
      <c r="E82" s="35"/>
      <c r="F82" s="36"/>
      <c r="G82" s="37" t="str">
        <f aca="false">IF(F82="","",F82/Parámetros!$C$8)</f>
        <v/>
      </c>
    </row>
    <row r="83" customFormat="false" ht="15" hidden="false" customHeight="false" outlineLevel="0" collapsed="false">
      <c r="A83" s="33"/>
      <c r="B83" s="34"/>
      <c r="C83" s="35"/>
      <c r="D83" s="35"/>
      <c r="E83" s="35"/>
      <c r="F83" s="36"/>
      <c r="G83" s="37" t="str">
        <f aca="false">IF(F83="","",F83/Parámetros!$C$8)</f>
        <v/>
      </c>
    </row>
    <row r="84" customFormat="false" ht="15" hidden="false" customHeight="false" outlineLevel="0" collapsed="false">
      <c r="A84" s="33"/>
      <c r="B84" s="34"/>
      <c r="C84" s="35"/>
      <c r="D84" s="35"/>
      <c r="E84" s="35"/>
      <c r="F84" s="36"/>
      <c r="G84" s="37" t="str">
        <f aca="false">IF(F84="","",F84/Parámetros!$C$8)</f>
        <v/>
      </c>
    </row>
    <row r="85" customFormat="false" ht="15" hidden="false" customHeight="false" outlineLevel="0" collapsed="false">
      <c r="A85" s="33"/>
      <c r="B85" s="34"/>
      <c r="C85" s="35"/>
      <c r="D85" s="35"/>
      <c r="E85" s="35"/>
      <c r="F85" s="36"/>
      <c r="G85" s="37" t="str">
        <f aca="false">IF(F85="","",F85/Parámetros!$C$8)</f>
        <v/>
      </c>
    </row>
    <row r="86" customFormat="false" ht="15" hidden="false" customHeight="false" outlineLevel="0" collapsed="false">
      <c r="A86" s="33"/>
      <c r="B86" s="34"/>
      <c r="C86" s="35"/>
      <c r="D86" s="35"/>
      <c r="E86" s="35"/>
      <c r="F86" s="36"/>
      <c r="G86" s="37" t="str">
        <f aca="false">IF(F86="","",F86/Parámetros!$C$8)</f>
        <v/>
      </c>
    </row>
    <row r="87" customFormat="false" ht="15" hidden="false" customHeight="false" outlineLevel="0" collapsed="false">
      <c r="A87" s="33"/>
      <c r="B87" s="34"/>
      <c r="C87" s="35"/>
      <c r="D87" s="35"/>
      <c r="E87" s="35"/>
      <c r="F87" s="36"/>
      <c r="G87" s="37" t="str">
        <f aca="false">IF(F87="","",F87/Parámetros!$C$8)</f>
        <v/>
      </c>
    </row>
    <row r="88" customFormat="false" ht="15" hidden="false" customHeight="false" outlineLevel="0" collapsed="false">
      <c r="A88" s="33"/>
      <c r="B88" s="34"/>
      <c r="C88" s="35"/>
      <c r="D88" s="35"/>
      <c r="E88" s="35"/>
      <c r="F88" s="36"/>
      <c r="G88" s="37" t="str">
        <f aca="false">IF(F88="","",F88/Parámetros!$C$8)</f>
        <v/>
      </c>
    </row>
    <row r="89" customFormat="false" ht="15" hidden="false" customHeight="false" outlineLevel="0" collapsed="false">
      <c r="A89" s="33"/>
      <c r="B89" s="34"/>
      <c r="C89" s="35"/>
      <c r="D89" s="35"/>
      <c r="E89" s="35"/>
      <c r="F89" s="36"/>
      <c r="G89" s="37" t="str">
        <f aca="false">IF(F89="","",F89/Parámetros!$C$8)</f>
        <v/>
      </c>
    </row>
    <row r="90" customFormat="false" ht="15" hidden="false" customHeight="false" outlineLevel="0" collapsed="false">
      <c r="A90" s="33"/>
      <c r="B90" s="34"/>
      <c r="C90" s="35"/>
      <c r="D90" s="35"/>
      <c r="E90" s="35"/>
      <c r="F90" s="36"/>
      <c r="G90" s="37" t="str">
        <f aca="false">IF(F90="","",F90/Parámetros!$C$8)</f>
        <v/>
      </c>
    </row>
    <row r="91" customFormat="false" ht="15" hidden="false" customHeight="false" outlineLevel="0" collapsed="false">
      <c r="A91" s="33"/>
      <c r="B91" s="34"/>
      <c r="C91" s="35"/>
      <c r="D91" s="35"/>
      <c r="E91" s="35"/>
      <c r="F91" s="36"/>
      <c r="G91" s="37" t="str">
        <f aca="false">IF(F91="","",F91/Parámetros!$C$8)</f>
        <v/>
      </c>
    </row>
    <row r="92" customFormat="false" ht="15" hidden="false" customHeight="false" outlineLevel="0" collapsed="false">
      <c r="A92" s="33"/>
      <c r="B92" s="34"/>
      <c r="C92" s="35"/>
      <c r="D92" s="35"/>
      <c r="E92" s="35"/>
      <c r="F92" s="36"/>
      <c r="G92" s="37" t="str">
        <f aca="false">IF(F92="","",F92/Parámetros!$C$8)</f>
        <v/>
      </c>
    </row>
    <row r="93" customFormat="false" ht="15" hidden="false" customHeight="false" outlineLevel="0" collapsed="false">
      <c r="A93" s="33"/>
      <c r="B93" s="34"/>
      <c r="C93" s="35"/>
      <c r="D93" s="35"/>
      <c r="E93" s="35"/>
      <c r="F93" s="36"/>
      <c r="G93" s="37" t="str">
        <f aca="false">IF(F93="","",F93/Parámetros!$C$8)</f>
        <v/>
      </c>
    </row>
    <row r="94" customFormat="false" ht="15" hidden="false" customHeight="false" outlineLevel="0" collapsed="false">
      <c r="A94" s="33"/>
      <c r="B94" s="34"/>
      <c r="C94" s="35"/>
      <c r="D94" s="35"/>
      <c r="E94" s="35"/>
      <c r="F94" s="36"/>
      <c r="G94" s="37" t="str">
        <f aca="false">IF(F94="","",F94/Parámetros!$C$8)</f>
        <v/>
      </c>
    </row>
    <row r="95" customFormat="false" ht="15" hidden="false" customHeight="false" outlineLevel="0" collapsed="false">
      <c r="A95" s="33"/>
      <c r="B95" s="34"/>
      <c r="C95" s="35"/>
      <c r="D95" s="35"/>
      <c r="E95" s="35"/>
      <c r="F95" s="36"/>
      <c r="G95" s="37" t="str">
        <f aca="false">IF(F95="","",F95/Parámetros!$C$8)</f>
        <v/>
      </c>
    </row>
    <row r="96" customFormat="false" ht="15" hidden="false" customHeight="false" outlineLevel="0" collapsed="false">
      <c r="A96" s="33"/>
      <c r="B96" s="34"/>
      <c r="C96" s="35"/>
      <c r="D96" s="35"/>
      <c r="E96" s="35"/>
      <c r="F96" s="36"/>
      <c r="G96" s="37" t="str">
        <f aca="false">IF(F96="","",F96/Parámetros!$C$8)</f>
        <v/>
      </c>
    </row>
    <row r="97" customFormat="false" ht="15" hidden="false" customHeight="false" outlineLevel="0" collapsed="false">
      <c r="A97" s="33"/>
      <c r="B97" s="34"/>
      <c r="C97" s="35"/>
      <c r="D97" s="35"/>
      <c r="E97" s="35"/>
      <c r="F97" s="36"/>
      <c r="G97" s="37" t="str">
        <f aca="false">IF(F97="","",F97/Parámetros!$C$8)</f>
        <v/>
      </c>
    </row>
    <row r="98" customFormat="false" ht="15" hidden="false" customHeight="false" outlineLevel="0" collapsed="false">
      <c r="A98" s="33"/>
      <c r="B98" s="34"/>
      <c r="C98" s="35"/>
      <c r="D98" s="35"/>
      <c r="E98" s="35"/>
      <c r="F98" s="36"/>
      <c r="G98" s="37" t="str">
        <f aca="false">IF(F98="","",F98/Parámetros!$C$8)</f>
        <v/>
      </c>
    </row>
    <row r="99" customFormat="false" ht="15" hidden="false" customHeight="false" outlineLevel="0" collapsed="false">
      <c r="A99" s="33"/>
      <c r="B99" s="34"/>
      <c r="C99" s="35"/>
      <c r="D99" s="35"/>
      <c r="E99" s="35"/>
      <c r="F99" s="36"/>
      <c r="G99" s="37" t="str">
        <f aca="false">IF(F99="","",F99/Parámetros!$C$8)</f>
        <v/>
      </c>
    </row>
    <row r="100" customFormat="false" ht="15" hidden="false" customHeight="false" outlineLevel="0" collapsed="false">
      <c r="A100" s="33"/>
      <c r="B100" s="34"/>
      <c r="C100" s="35"/>
      <c r="D100" s="35"/>
      <c r="E100" s="35"/>
      <c r="F100" s="36"/>
      <c r="G100" s="37" t="str">
        <f aca="false">IF(F100="","",F100/Parámetros!$C$8)</f>
        <v/>
      </c>
    </row>
    <row r="101" customFormat="false" ht="15" hidden="false" customHeight="false" outlineLevel="0" collapsed="false">
      <c r="A101" s="33"/>
      <c r="B101" s="34"/>
      <c r="C101" s="35"/>
      <c r="D101" s="35"/>
      <c r="E101" s="35"/>
      <c r="F101" s="36"/>
      <c r="G101" s="37" t="str">
        <f aca="false">IF(F101="","",F101/Parámetros!$C$8)</f>
        <v/>
      </c>
    </row>
    <row r="102" customFormat="false" ht="15" hidden="false" customHeight="false" outlineLevel="0" collapsed="false">
      <c r="A102" s="33"/>
      <c r="B102" s="34"/>
      <c r="C102" s="35"/>
      <c r="D102" s="35"/>
      <c r="E102" s="35"/>
      <c r="F102" s="36"/>
      <c r="G102" s="37" t="str">
        <f aca="false">IF(F102="","",F102/Parámetros!$C$8)</f>
        <v/>
      </c>
    </row>
    <row r="103" customFormat="false" ht="15" hidden="false" customHeight="false" outlineLevel="0" collapsed="false">
      <c r="A103" s="33"/>
      <c r="B103" s="34"/>
      <c r="C103" s="35"/>
      <c r="D103" s="35"/>
      <c r="E103" s="35"/>
      <c r="F103" s="36"/>
      <c r="G103" s="37" t="str">
        <f aca="false">IF(F103="","",F103/Parámetros!$C$8)</f>
        <v/>
      </c>
    </row>
    <row r="104" customFormat="false" ht="15" hidden="false" customHeight="false" outlineLevel="0" collapsed="false">
      <c r="A104" s="33"/>
      <c r="B104" s="34"/>
      <c r="C104" s="35"/>
      <c r="D104" s="35"/>
      <c r="E104" s="35"/>
      <c r="F104" s="36"/>
      <c r="G104" s="37" t="str">
        <f aca="false">IF(F104="","",F104/Parámetros!$C$8)</f>
        <v/>
      </c>
    </row>
    <row r="105" customFormat="false" ht="15" hidden="false" customHeight="false" outlineLevel="0" collapsed="false">
      <c r="A105" s="33"/>
      <c r="B105" s="34"/>
      <c r="C105" s="35"/>
      <c r="D105" s="35"/>
      <c r="E105" s="35"/>
      <c r="F105" s="36"/>
      <c r="G105" s="37" t="str">
        <f aca="false">IF(F105="","",F105/Parámetros!$C$8)</f>
        <v/>
      </c>
    </row>
    <row r="106" customFormat="false" ht="15" hidden="false" customHeight="false" outlineLevel="0" collapsed="false">
      <c r="A106" s="33"/>
      <c r="B106" s="34"/>
      <c r="C106" s="35"/>
      <c r="D106" s="35"/>
      <c r="E106" s="35"/>
      <c r="F106" s="36"/>
      <c r="G106" s="37" t="str">
        <f aca="false">IF(F106="","",F106/Parámetros!$C$8)</f>
        <v/>
      </c>
    </row>
    <row r="107" customFormat="false" ht="15" hidden="false" customHeight="false" outlineLevel="0" collapsed="false">
      <c r="A107" s="33"/>
      <c r="B107" s="34"/>
      <c r="C107" s="35"/>
      <c r="D107" s="35"/>
      <c r="E107" s="35"/>
      <c r="F107" s="36"/>
      <c r="G107" s="37" t="str">
        <f aca="false">IF(F107="","",F107/Parámetros!$C$8)</f>
        <v/>
      </c>
    </row>
    <row r="108" customFormat="false" ht="15" hidden="false" customHeight="false" outlineLevel="0" collapsed="false">
      <c r="A108" s="33"/>
      <c r="B108" s="34"/>
      <c r="C108" s="35"/>
      <c r="D108" s="35"/>
      <c r="E108" s="35"/>
      <c r="F108" s="36"/>
      <c r="G108" s="37" t="str">
        <f aca="false">IF(F108="","",F108/Parámetros!$C$8)</f>
        <v/>
      </c>
    </row>
    <row r="109" customFormat="false" ht="15" hidden="false" customHeight="false" outlineLevel="0" collapsed="false">
      <c r="A109" s="33"/>
      <c r="B109" s="34"/>
      <c r="C109" s="35"/>
      <c r="D109" s="35"/>
      <c r="E109" s="35"/>
      <c r="F109" s="36"/>
      <c r="G109" s="37" t="str">
        <f aca="false">IF(F109="","",F109/Parámetros!$C$8)</f>
        <v/>
      </c>
    </row>
    <row r="110" customFormat="false" ht="15" hidden="false" customHeight="false" outlineLevel="0" collapsed="false">
      <c r="A110" s="33"/>
      <c r="B110" s="34"/>
      <c r="C110" s="35"/>
      <c r="D110" s="35"/>
      <c r="E110" s="35"/>
      <c r="F110" s="36"/>
      <c r="G110" s="37" t="str">
        <f aca="false">IF(F110="","",F110/Parámetros!$C$8)</f>
        <v/>
      </c>
    </row>
    <row r="111" customFormat="false" ht="15" hidden="false" customHeight="false" outlineLevel="0" collapsed="false">
      <c r="A111" s="33"/>
      <c r="B111" s="34"/>
      <c r="C111" s="35"/>
      <c r="D111" s="35"/>
      <c r="E111" s="35"/>
      <c r="F111" s="36"/>
      <c r="G111" s="37" t="str">
        <f aca="false">IF(F111="","",F111/Parámetros!$C$8)</f>
        <v/>
      </c>
    </row>
    <row r="112" customFormat="false" ht="15" hidden="false" customHeight="false" outlineLevel="0" collapsed="false">
      <c r="A112" s="33"/>
      <c r="B112" s="34"/>
      <c r="C112" s="35"/>
      <c r="D112" s="35"/>
      <c r="E112" s="35"/>
      <c r="F112" s="36"/>
      <c r="G112" s="37" t="str">
        <f aca="false">IF(F112="","",F112/Parámetros!$C$8)</f>
        <v/>
      </c>
    </row>
    <row r="113" customFormat="false" ht="15" hidden="false" customHeight="false" outlineLevel="0" collapsed="false">
      <c r="A113" s="33"/>
      <c r="B113" s="34"/>
      <c r="C113" s="35"/>
      <c r="D113" s="35"/>
      <c r="E113" s="35"/>
      <c r="F113" s="36"/>
      <c r="G113" s="37" t="str">
        <f aca="false">IF(F113="","",F113/Parámetros!$C$8)</f>
        <v/>
      </c>
    </row>
    <row r="114" customFormat="false" ht="15" hidden="false" customHeight="false" outlineLevel="0" collapsed="false">
      <c r="A114" s="33"/>
      <c r="B114" s="34"/>
      <c r="C114" s="35"/>
      <c r="D114" s="35"/>
      <c r="E114" s="35"/>
      <c r="F114" s="36"/>
      <c r="G114" s="37" t="str">
        <f aca="false">IF(F114="","",F114/Parámetros!$C$8)</f>
        <v/>
      </c>
    </row>
    <row r="115" customFormat="false" ht="15" hidden="false" customHeight="false" outlineLevel="0" collapsed="false">
      <c r="A115" s="33"/>
      <c r="B115" s="34"/>
      <c r="C115" s="35"/>
      <c r="D115" s="35"/>
      <c r="E115" s="35"/>
      <c r="F115" s="36"/>
      <c r="G115" s="37" t="str">
        <f aca="false">IF(F115="","",F115/Parámetros!$C$8)</f>
        <v/>
      </c>
    </row>
    <row r="116" customFormat="false" ht="15" hidden="false" customHeight="false" outlineLevel="0" collapsed="false">
      <c r="A116" s="33"/>
      <c r="B116" s="34"/>
      <c r="C116" s="35"/>
      <c r="D116" s="35"/>
      <c r="E116" s="35"/>
      <c r="F116" s="36"/>
      <c r="G116" s="37" t="str">
        <f aca="false">IF(F116="","",F116/Parámetros!$C$8)</f>
        <v/>
      </c>
    </row>
    <row r="117" customFormat="false" ht="15" hidden="false" customHeight="false" outlineLevel="0" collapsed="false">
      <c r="A117" s="33"/>
      <c r="B117" s="34"/>
      <c r="C117" s="35"/>
      <c r="D117" s="35"/>
      <c r="E117" s="35"/>
      <c r="F117" s="36"/>
      <c r="G117" s="37" t="str">
        <f aca="false">IF(F117="","",F117/Parámetros!$C$8)</f>
        <v/>
      </c>
    </row>
    <row r="118" customFormat="false" ht="15" hidden="false" customHeight="false" outlineLevel="0" collapsed="false">
      <c r="A118" s="33"/>
      <c r="B118" s="34"/>
      <c r="C118" s="35"/>
      <c r="D118" s="35"/>
      <c r="E118" s="35"/>
      <c r="F118" s="36"/>
      <c r="G118" s="37" t="str">
        <f aca="false">IF(F118="","",F118/Parámetros!$C$8)</f>
        <v/>
      </c>
    </row>
    <row r="119" customFormat="false" ht="15" hidden="false" customHeight="false" outlineLevel="0" collapsed="false">
      <c r="A119" s="33"/>
      <c r="B119" s="34"/>
      <c r="C119" s="35"/>
      <c r="D119" s="35"/>
      <c r="E119" s="35"/>
      <c r="F119" s="36"/>
      <c r="G119" s="37" t="str">
        <f aca="false">IF(F119="","",F119/Parámetros!$C$8)</f>
        <v/>
      </c>
    </row>
    <row r="120" customFormat="false" ht="15" hidden="false" customHeight="false" outlineLevel="0" collapsed="false">
      <c r="A120" s="33"/>
      <c r="B120" s="34"/>
      <c r="C120" s="35"/>
      <c r="D120" s="35"/>
      <c r="E120" s="35"/>
      <c r="F120" s="36"/>
      <c r="G120" s="37" t="str">
        <f aca="false">IF(F120="","",F120/Parámetros!$C$8)</f>
        <v/>
      </c>
    </row>
    <row r="121" customFormat="false" ht="15" hidden="false" customHeight="false" outlineLevel="0" collapsed="false">
      <c r="A121" s="33"/>
      <c r="B121" s="34"/>
      <c r="C121" s="35"/>
      <c r="D121" s="35"/>
      <c r="E121" s="35"/>
      <c r="F121" s="36"/>
      <c r="G121" s="37" t="str">
        <f aca="false">IF(F121="","",F121/Parámetros!$C$8)</f>
        <v/>
      </c>
    </row>
    <row r="122" customFormat="false" ht="15" hidden="false" customHeight="false" outlineLevel="0" collapsed="false">
      <c r="A122" s="33"/>
      <c r="B122" s="34"/>
      <c r="C122" s="35"/>
      <c r="D122" s="35"/>
      <c r="E122" s="35"/>
      <c r="F122" s="36"/>
      <c r="G122" s="37" t="str">
        <f aca="false">IF(F122="","",F122/Parámetros!$C$8)</f>
        <v/>
      </c>
    </row>
    <row r="123" customFormat="false" ht="15" hidden="false" customHeight="false" outlineLevel="0" collapsed="false">
      <c r="A123" s="33"/>
      <c r="B123" s="34"/>
      <c r="C123" s="35"/>
      <c r="D123" s="35"/>
      <c r="E123" s="35"/>
      <c r="F123" s="36"/>
      <c r="G123" s="37" t="str">
        <f aca="false">IF(F123="","",F123/Parámetros!$C$8)</f>
        <v/>
      </c>
    </row>
    <row r="124" customFormat="false" ht="15" hidden="false" customHeight="false" outlineLevel="0" collapsed="false">
      <c r="A124" s="33"/>
      <c r="B124" s="34"/>
      <c r="C124" s="35"/>
      <c r="D124" s="35"/>
      <c r="E124" s="35"/>
      <c r="F124" s="36"/>
      <c r="G124" s="37" t="str">
        <f aca="false">IF(F124="","",F124/Parámetros!$C$8)</f>
        <v/>
      </c>
    </row>
    <row r="125" customFormat="false" ht="15" hidden="false" customHeight="false" outlineLevel="0" collapsed="false">
      <c r="A125" s="33"/>
      <c r="B125" s="34"/>
      <c r="C125" s="35"/>
      <c r="D125" s="35"/>
      <c r="E125" s="35"/>
      <c r="F125" s="36"/>
      <c r="G125" s="37" t="str">
        <f aca="false">IF(F125="","",F125/Parámetros!$C$8)</f>
        <v/>
      </c>
    </row>
    <row r="126" customFormat="false" ht="15" hidden="false" customHeight="false" outlineLevel="0" collapsed="false">
      <c r="A126" s="33"/>
      <c r="B126" s="34"/>
      <c r="C126" s="35"/>
      <c r="D126" s="35"/>
      <c r="E126" s="35"/>
      <c r="F126" s="36"/>
      <c r="G126" s="37" t="str">
        <f aca="false">IF(F126="","",F126/Parámetros!$C$8)</f>
        <v/>
      </c>
    </row>
    <row r="127" customFormat="false" ht="15" hidden="false" customHeight="false" outlineLevel="0" collapsed="false">
      <c r="A127" s="33"/>
      <c r="B127" s="34"/>
      <c r="C127" s="35"/>
      <c r="D127" s="35"/>
      <c r="E127" s="35"/>
      <c r="F127" s="36"/>
      <c r="G127" s="37" t="str">
        <f aca="false">IF(F127="","",F127/Parámetros!$C$8)</f>
        <v/>
      </c>
    </row>
    <row r="128" customFormat="false" ht="15" hidden="false" customHeight="false" outlineLevel="0" collapsed="false">
      <c r="A128" s="33"/>
      <c r="B128" s="34"/>
      <c r="C128" s="35"/>
      <c r="D128" s="35"/>
      <c r="E128" s="35"/>
      <c r="F128" s="36"/>
      <c r="G128" s="37" t="str">
        <f aca="false">IF(F128="","",F128/Parámetros!$C$8)</f>
        <v/>
      </c>
    </row>
    <row r="129" customFormat="false" ht="15" hidden="false" customHeight="false" outlineLevel="0" collapsed="false">
      <c r="A129" s="33"/>
      <c r="B129" s="34"/>
      <c r="C129" s="35"/>
      <c r="D129" s="35"/>
      <c r="E129" s="35"/>
      <c r="F129" s="36"/>
      <c r="G129" s="37" t="str">
        <f aca="false">IF(F129="","",F129/Parámetros!$C$8)</f>
        <v/>
      </c>
    </row>
    <row r="130" customFormat="false" ht="15" hidden="false" customHeight="false" outlineLevel="0" collapsed="false">
      <c r="A130" s="33"/>
      <c r="B130" s="34"/>
      <c r="C130" s="35"/>
      <c r="D130" s="35"/>
      <c r="E130" s="35"/>
      <c r="F130" s="36"/>
      <c r="G130" s="37" t="str">
        <f aca="false">IF(F130="","",F130/Parámetros!$C$8)</f>
        <v/>
      </c>
    </row>
    <row r="131" customFormat="false" ht="15" hidden="false" customHeight="false" outlineLevel="0" collapsed="false">
      <c r="A131" s="33"/>
      <c r="B131" s="34"/>
      <c r="C131" s="35"/>
      <c r="D131" s="35"/>
      <c r="E131" s="35"/>
      <c r="F131" s="36"/>
      <c r="G131" s="37" t="str">
        <f aca="false">IF(F131="","",F131/Parámetros!$C$8)</f>
        <v/>
      </c>
    </row>
    <row r="132" customFormat="false" ht="15" hidden="false" customHeight="false" outlineLevel="0" collapsed="false">
      <c r="A132" s="33"/>
      <c r="B132" s="34"/>
      <c r="C132" s="35"/>
      <c r="D132" s="35"/>
      <c r="E132" s="35"/>
      <c r="F132" s="36"/>
      <c r="G132" s="37" t="str">
        <f aca="false">IF(F132="","",F132/Parámetros!$C$8)</f>
        <v/>
      </c>
    </row>
    <row r="133" customFormat="false" ht="15" hidden="false" customHeight="false" outlineLevel="0" collapsed="false">
      <c r="A133" s="33"/>
      <c r="B133" s="34"/>
      <c r="C133" s="35"/>
      <c r="D133" s="35"/>
      <c r="E133" s="35"/>
      <c r="F133" s="36"/>
      <c r="G133" s="37" t="str">
        <f aca="false">IF(F133="","",F133/Parámetros!$C$8)</f>
        <v/>
      </c>
    </row>
    <row r="134" customFormat="false" ht="15" hidden="false" customHeight="false" outlineLevel="0" collapsed="false">
      <c r="A134" s="33"/>
      <c r="B134" s="34"/>
      <c r="C134" s="35"/>
      <c r="D134" s="35"/>
      <c r="E134" s="35"/>
      <c r="F134" s="36"/>
      <c r="G134" s="37" t="str">
        <f aca="false">IF(F134="","",F134/Parámetros!$C$8)</f>
        <v/>
      </c>
    </row>
    <row r="135" customFormat="false" ht="15" hidden="false" customHeight="false" outlineLevel="0" collapsed="false">
      <c r="A135" s="33"/>
      <c r="B135" s="34"/>
      <c r="C135" s="35"/>
      <c r="D135" s="35"/>
      <c r="E135" s="35"/>
      <c r="F135" s="36"/>
      <c r="G135" s="37" t="str">
        <f aca="false">IF(F135="","",F135/Parámetros!$C$8)</f>
        <v/>
      </c>
    </row>
    <row r="136" customFormat="false" ht="15" hidden="false" customHeight="false" outlineLevel="0" collapsed="false">
      <c r="A136" s="33"/>
      <c r="B136" s="34"/>
      <c r="C136" s="35"/>
      <c r="D136" s="35"/>
      <c r="E136" s="35"/>
      <c r="F136" s="36"/>
      <c r="G136" s="37" t="str">
        <f aca="false">IF(F136="","",F136/Parámetros!$C$8)</f>
        <v/>
      </c>
    </row>
    <row r="137" customFormat="false" ht="15" hidden="false" customHeight="false" outlineLevel="0" collapsed="false">
      <c r="A137" s="33"/>
      <c r="B137" s="34"/>
      <c r="C137" s="35"/>
      <c r="D137" s="35"/>
      <c r="E137" s="35"/>
      <c r="F137" s="36"/>
      <c r="G137" s="37" t="str">
        <f aca="false">IF(F137="","",F137/Parámetros!$C$8)</f>
        <v/>
      </c>
    </row>
    <row r="138" customFormat="false" ht="15" hidden="false" customHeight="false" outlineLevel="0" collapsed="false">
      <c r="A138" s="33"/>
      <c r="B138" s="34"/>
      <c r="C138" s="35"/>
      <c r="D138" s="35"/>
      <c r="E138" s="35"/>
      <c r="F138" s="36"/>
      <c r="G138" s="37" t="str">
        <f aca="false">IF(F138="","",F138/Parámetros!$C$8)</f>
        <v/>
      </c>
    </row>
    <row r="139" customFormat="false" ht="15" hidden="false" customHeight="false" outlineLevel="0" collapsed="false">
      <c r="A139" s="33"/>
      <c r="B139" s="34"/>
      <c r="C139" s="35"/>
      <c r="D139" s="35"/>
      <c r="E139" s="35"/>
      <c r="F139" s="36"/>
      <c r="G139" s="37" t="str">
        <f aca="false">IF(F139="","",F139/Parámetros!$C$8)</f>
        <v/>
      </c>
    </row>
    <row r="140" customFormat="false" ht="15" hidden="false" customHeight="false" outlineLevel="0" collapsed="false">
      <c r="A140" s="33"/>
      <c r="B140" s="34"/>
      <c r="C140" s="35"/>
      <c r="D140" s="35"/>
      <c r="E140" s="35"/>
      <c r="F140" s="36"/>
      <c r="G140" s="37" t="str">
        <f aca="false">IF(F140="","",F140/Parámetros!$C$8)</f>
        <v/>
      </c>
    </row>
    <row r="141" customFormat="false" ht="15" hidden="false" customHeight="false" outlineLevel="0" collapsed="false">
      <c r="A141" s="33"/>
      <c r="B141" s="34"/>
      <c r="C141" s="35"/>
      <c r="D141" s="35"/>
      <c r="E141" s="35"/>
      <c r="F141" s="36"/>
      <c r="G141" s="37" t="str">
        <f aca="false">IF(F141="","",F141/Parámetros!$C$8)</f>
        <v/>
      </c>
    </row>
    <row r="142" customFormat="false" ht="15" hidden="false" customHeight="false" outlineLevel="0" collapsed="false">
      <c r="A142" s="33"/>
      <c r="B142" s="34"/>
      <c r="C142" s="35"/>
      <c r="D142" s="35"/>
      <c r="E142" s="35"/>
      <c r="F142" s="36"/>
      <c r="G142" s="37" t="str">
        <f aca="false">IF(F142="","",F142/Parámetros!$C$8)</f>
        <v/>
      </c>
    </row>
    <row r="143" customFormat="false" ht="15" hidden="false" customHeight="false" outlineLevel="0" collapsed="false">
      <c r="A143" s="33"/>
      <c r="B143" s="34"/>
      <c r="C143" s="35"/>
      <c r="D143" s="35"/>
      <c r="E143" s="35"/>
      <c r="F143" s="36"/>
      <c r="G143" s="37" t="str">
        <f aca="false">IF(F143="","",F143/Parámetros!$C$8)</f>
        <v/>
      </c>
    </row>
    <row r="144" customFormat="false" ht="15" hidden="false" customHeight="false" outlineLevel="0" collapsed="false">
      <c r="A144" s="33"/>
      <c r="B144" s="34"/>
      <c r="C144" s="35"/>
      <c r="D144" s="35"/>
      <c r="E144" s="35"/>
      <c r="F144" s="36"/>
      <c r="G144" s="37" t="str">
        <f aca="false">IF(F144="","",F144/Parámetros!$C$8)</f>
        <v/>
      </c>
    </row>
    <row r="145" customFormat="false" ht="15" hidden="false" customHeight="false" outlineLevel="0" collapsed="false">
      <c r="A145" s="33"/>
      <c r="B145" s="34"/>
      <c r="C145" s="35"/>
      <c r="D145" s="35"/>
      <c r="E145" s="35"/>
      <c r="F145" s="36"/>
      <c r="G145" s="37" t="str">
        <f aca="false">IF(F145="","",F145/Parámetros!$C$8)</f>
        <v/>
      </c>
    </row>
    <row r="146" customFormat="false" ht="15" hidden="false" customHeight="false" outlineLevel="0" collapsed="false">
      <c r="A146" s="33"/>
      <c r="B146" s="34"/>
      <c r="C146" s="35"/>
      <c r="D146" s="35"/>
      <c r="E146" s="35"/>
      <c r="F146" s="36"/>
      <c r="G146" s="37" t="str">
        <f aca="false">IF(F146="","",F146/Parámetros!$C$8)</f>
        <v/>
      </c>
    </row>
    <row r="147" customFormat="false" ht="15" hidden="false" customHeight="false" outlineLevel="0" collapsed="false">
      <c r="A147" s="33"/>
      <c r="B147" s="34"/>
      <c r="C147" s="35"/>
      <c r="D147" s="35"/>
      <c r="E147" s="35"/>
      <c r="F147" s="36"/>
      <c r="G147" s="37" t="str">
        <f aca="false">IF(F147="","",F147/Parámetros!$C$8)</f>
        <v/>
      </c>
    </row>
    <row r="148" customFormat="false" ht="15" hidden="false" customHeight="false" outlineLevel="0" collapsed="false">
      <c r="A148" s="33"/>
      <c r="B148" s="34"/>
      <c r="C148" s="35"/>
      <c r="D148" s="35"/>
      <c r="E148" s="35"/>
      <c r="F148" s="36"/>
      <c r="G148" s="37" t="str">
        <f aca="false">IF(F148="","",F148/Parámetros!$C$8)</f>
        <v/>
      </c>
    </row>
    <row r="149" customFormat="false" ht="15" hidden="false" customHeight="false" outlineLevel="0" collapsed="false">
      <c r="A149" s="33"/>
      <c r="B149" s="34"/>
      <c r="C149" s="35"/>
      <c r="D149" s="35"/>
      <c r="E149" s="35"/>
      <c r="F149" s="36"/>
      <c r="G149" s="37" t="str">
        <f aca="false">IF(F149="","",F149/Parámetros!$C$8)</f>
        <v/>
      </c>
    </row>
    <row r="150" customFormat="false" ht="15" hidden="false" customHeight="false" outlineLevel="0" collapsed="false">
      <c r="A150" s="33"/>
      <c r="B150" s="34"/>
      <c r="C150" s="35"/>
      <c r="D150" s="35"/>
      <c r="E150" s="35"/>
      <c r="F150" s="36"/>
      <c r="G150" s="37" t="str">
        <f aca="false">IF(F150="","",F150/Parámetros!$C$8)</f>
        <v/>
      </c>
    </row>
    <row r="151" customFormat="false" ht="15" hidden="false" customHeight="false" outlineLevel="0" collapsed="false">
      <c r="A151" s="33"/>
      <c r="B151" s="34"/>
      <c r="C151" s="35"/>
      <c r="D151" s="35"/>
      <c r="E151" s="35"/>
      <c r="F151" s="36"/>
      <c r="G151" s="37" t="str">
        <f aca="false">IF(F151="","",F151/Parámetros!$C$8)</f>
        <v/>
      </c>
    </row>
    <row r="152" customFormat="false" ht="15" hidden="false" customHeight="false" outlineLevel="0" collapsed="false">
      <c r="A152" s="33"/>
      <c r="B152" s="34"/>
      <c r="C152" s="35"/>
      <c r="D152" s="35"/>
      <c r="E152" s="35"/>
      <c r="F152" s="36"/>
      <c r="G152" s="37" t="str">
        <f aca="false">IF(F152="","",F152/Parámetros!$C$8)</f>
        <v/>
      </c>
    </row>
    <row r="153" customFormat="false" ht="15" hidden="false" customHeight="false" outlineLevel="0" collapsed="false">
      <c r="A153" s="33"/>
      <c r="B153" s="34"/>
      <c r="C153" s="35"/>
      <c r="D153" s="35"/>
      <c r="E153" s="35"/>
      <c r="F153" s="36"/>
      <c r="G153" s="37" t="str">
        <f aca="false">IF(F153="","",F153/Parámetros!$C$8)</f>
        <v/>
      </c>
    </row>
    <row r="154" customFormat="false" ht="15" hidden="false" customHeight="false" outlineLevel="0" collapsed="false">
      <c r="A154" s="33"/>
      <c r="B154" s="34"/>
      <c r="C154" s="35"/>
      <c r="D154" s="35"/>
      <c r="E154" s="35"/>
      <c r="F154" s="36"/>
      <c r="G154" s="37" t="str">
        <f aca="false">IF(F154="","",F154/Parámetros!$C$8)</f>
        <v/>
      </c>
    </row>
    <row r="155" customFormat="false" ht="15" hidden="false" customHeight="false" outlineLevel="0" collapsed="false">
      <c r="A155" s="33"/>
      <c r="B155" s="34"/>
      <c r="C155" s="35"/>
      <c r="D155" s="35"/>
      <c r="E155" s="35"/>
      <c r="F155" s="36"/>
      <c r="G155" s="37" t="str">
        <f aca="false">IF(F155="","",F155/Parámetros!$C$8)</f>
        <v/>
      </c>
    </row>
    <row r="156" customFormat="false" ht="15" hidden="false" customHeight="false" outlineLevel="0" collapsed="false">
      <c r="A156" s="33"/>
      <c r="B156" s="34"/>
      <c r="C156" s="35"/>
      <c r="D156" s="35"/>
      <c r="E156" s="35"/>
      <c r="F156" s="36"/>
      <c r="G156" s="37" t="str">
        <f aca="false">IF(F156="","",F156/Parámetros!$C$8)</f>
        <v/>
      </c>
    </row>
    <row r="157" customFormat="false" ht="15" hidden="false" customHeight="false" outlineLevel="0" collapsed="false">
      <c r="A157" s="33"/>
      <c r="B157" s="34"/>
      <c r="C157" s="35"/>
      <c r="D157" s="35"/>
      <c r="E157" s="35"/>
      <c r="F157" s="36"/>
      <c r="G157" s="37" t="str">
        <f aca="false">IF(F157="","",F157/Parámetros!$C$8)</f>
        <v/>
      </c>
    </row>
    <row r="158" customFormat="false" ht="15" hidden="false" customHeight="false" outlineLevel="0" collapsed="false">
      <c r="A158" s="33"/>
      <c r="B158" s="34"/>
      <c r="C158" s="35"/>
      <c r="D158" s="35"/>
      <c r="E158" s="35"/>
      <c r="F158" s="36"/>
      <c r="G158" s="37" t="str">
        <f aca="false">IF(F158="","",F158/Parámetros!$C$8)</f>
        <v/>
      </c>
    </row>
    <row r="159" customFormat="false" ht="15" hidden="false" customHeight="false" outlineLevel="0" collapsed="false">
      <c r="A159" s="33"/>
      <c r="B159" s="34"/>
      <c r="C159" s="35"/>
      <c r="D159" s="35"/>
      <c r="E159" s="35"/>
      <c r="F159" s="36"/>
      <c r="G159" s="37" t="str">
        <f aca="false">IF(F159="","",F159/Parámetros!$C$8)</f>
        <v/>
      </c>
    </row>
    <row r="160" customFormat="false" ht="15" hidden="false" customHeight="false" outlineLevel="0" collapsed="false">
      <c r="A160" s="33"/>
      <c r="B160" s="34"/>
      <c r="C160" s="35"/>
      <c r="D160" s="35"/>
      <c r="E160" s="35"/>
      <c r="F160" s="36"/>
      <c r="G160" s="37" t="str">
        <f aca="false">IF(F160="","",F160/Parámetros!$C$8)</f>
        <v/>
      </c>
    </row>
    <row r="161" customFormat="false" ht="15" hidden="false" customHeight="false" outlineLevel="0" collapsed="false">
      <c r="A161" s="33"/>
      <c r="B161" s="34"/>
      <c r="C161" s="35"/>
      <c r="D161" s="35"/>
      <c r="E161" s="35"/>
      <c r="F161" s="36"/>
      <c r="G161" s="37" t="str">
        <f aca="false">IF(F161="","",F161/Parámetros!$C$8)</f>
        <v/>
      </c>
    </row>
    <row r="162" customFormat="false" ht="15" hidden="false" customHeight="false" outlineLevel="0" collapsed="false">
      <c r="A162" s="33"/>
      <c r="B162" s="34"/>
      <c r="C162" s="35"/>
      <c r="D162" s="35"/>
      <c r="E162" s="35"/>
      <c r="F162" s="36"/>
      <c r="G162" s="37" t="str">
        <f aca="false">IF(F162="","",F162/Parámetros!$C$8)</f>
        <v/>
      </c>
    </row>
    <row r="163" customFormat="false" ht="15" hidden="false" customHeight="false" outlineLevel="0" collapsed="false">
      <c r="A163" s="33"/>
      <c r="B163" s="34"/>
      <c r="C163" s="35"/>
      <c r="D163" s="35"/>
      <c r="E163" s="35"/>
      <c r="F163" s="36"/>
      <c r="G163" s="37" t="str">
        <f aca="false">IF(F163="","",F163/Parámetros!$C$8)</f>
        <v/>
      </c>
    </row>
    <row r="164" customFormat="false" ht="15" hidden="false" customHeight="false" outlineLevel="0" collapsed="false">
      <c r="A164" s="33"/>
      <c r="B164" s="34"/>
      <c r="C164" s="35"/>
      <c r="D164" s="35"/>
      <c r="E164" s="35"/>
      <c r="F164" s="36"/>
      <c r="G164" s="37" t="str">
        <f aca="false">IF(F164="","",F164/Parámetros!$C$8)</f>
        <v/>
      </c>
    </row>
    <row r="165" customFormat="false" ht="15" hidden="false" customHeight="false" outlineLevel="0" collapsed="false">
      <c r="A165" s="33"/>
      <c r="B165" s="34"/>
      <c r="C165" s="35"/>
      <c r="D165" s="35"/>
      <c r="E165" s="35"/>
      <c r="F165" s="36"/>
      <c r="G165" s="37" t="str">
        <f aca="false">IF(F165="","",F165/Parámetros!$C$8)</f>
        <v/>
      </c>
    </row>
    <row r="166" customFormat="false" ht="15" hidden="false" customHeight="false" outlineLevel="0" collapsed="false">
      <c r="A166" s="33"/>
      <c r="B166" s="34"/>
      <c r="C166" s="35"/>
      <c r="D166" s="35"/>
      <c r="E166" s="35"/>
      <c r="F166" s="36"/>
      <c r="G166" s="37" t="str">
        <f aca="false">IF(F166="","",F166/Parámetros!$C$8)</f>
        <v/>
      </c>
    </row>
    <row r="167" customFormat="false" ht="15" hidden="false" customHeight="false" outlineLevel="0" collapsed="false">
      <c r="A167" s="33"/>
      <c r="B167" s="34"/>
      <c r="C167" s="35"/>
      <c r="D167" s="35"/>
      <c r="E167" s="35"/>
      <c r="F167" s="36"/>
      <c r="G167" s="37" t="str">
        <f aca="false">IF(F167="","",F167/Parámetros!$C$8)</f>
        <v/>
      </c>
    </row>
    <row r="168" customFormat="false" ht="15" hidden="false" customHeight="false" outlineLevel="0" collapsed="false">
      <c r="A168" s="33"/>
      <c r="B168" s="34"/>
      <c r="C168" s="35"/>
      <c r="D168" s="35"/>
      <c r="E168" s="35"/>
      <c r="F168" s="36"/>
      <c r="G168" s="37" t="str">
        <f aca="false">IF(F168="","",F168/Parámetros!$C$8)</f>
        <v/>
      </c>
    </row>
    <row r="169" customFormat="false" ht="15" hidden="false" customHeight="false" outlineLevel="0" collapsed="false">
      <c r="A169" s="33"/>
      <c r="B169" s="34"/>
      <c r="C169" s="35"/>
      <c r="D169" s="35"/>
      <c r="E169" s="35"/>
      <c r="F169" s="36"/>
      <c r="G169" s="37" t="str">
        <f aca="false">IF(F169="","",F169/Parámetros!$C$8)</f>
        <v/>
      </c>
    </row>
    <row r="170" customFormat="false" ht="15" hidden="false" customHeight="false" outlineLevel="0" collapsed="false">
      <c r="A170" s="33"/>
      <c r="B170" s="34"/>
      <c r="C170" s="35"/>
      <c r="D170" s="35"/>
      <c r="E170" s="35"/>
      <c r="F170" s="36"/>
      <c r="G170" s="37" t="str">
        <f aca="false">IF(F170="","",F170/Parámetros!$C$8)</f>
        <v/>
      </c>
    </row>
    <row r="171" customFormat="false" ht="15" hidden="false" customHeight="false" outlineLevel="0" collapsed="false">
      <c r="A171" s="33"/>
      <c r="B171" s="34"/>
      <c r="C171" s="35"/>
      <c r="D171" s="35"/>
      <c r="E171" s="35"/>
      <c r="F171" s="36"/>
      <c r="G171" s="37" t="str">
        <f aca="false">IF(F171="","",F171/Parámetros!$C$8)</f>
        <v/>
      </c>
    </row>
    <row r="172" customFormat="false" ht="15" hidden="false" customHeight="false" outlineLevel="0" collapsed="false">
      <c r="A172" s="33"/>
      <c r="B172" s="34"/>
      <c r="C172" s="35"/>
      <c r="D172" s="35"/>
      <c r="E172" s="35"/>
      <c r="F172" s="36"/>
      <c r="G172" s="37" t="str">
        <f aca="false">IF(F172="","",F172/Parámetros!$C$8)</f>
        <v/>
      </c>
    </row>
    <row r="173" customFormat="false" ht="15" hidden="false" customHeight="false" outlineLevel="0" collapsed="false">
      <c r="A173" s="33"/>
      <c r="B173" s="34"/>
      <c r="C173" s="35"/>
      <c r="D173" s="35"/>
      <c r="E173" s="35"/>
      <c r="F173" s="36"/>
      <c r="G173" s="37" t="str">
        <f aca="false">IF(F173="","",F173/Parámetros!$C$8)</f>
        <v/>
      </c>
    </row>
    <row r="174" customFormat="false" ht="15" hidden="false" customHeight="false" outlineLevel="0" collapsed="false">
      <c r="A174" s="33"/>
      <c r="B174" s="34"/>
      <c r="C174" s="35"/>
      <c r="D174" s="35"/>
      <c r="E174" s="35"/>
      <c r="F174" s="36"/>
      <c r="G174" s="37" t="str">
        <f aca="false">IF(F174="","",F174/Parámetros!$C$8)</f>
        <v/>
      </c>
    </row>
    <row r="175" customFormat="false" ht="15" hidden="false" customHeight="false" outlineLevel="0" collapsed="false">
      <c r="A175" s="33"/>
      <c r="B175" s="34"/>
      <c r="C175" s="35"/>
      <c r="D175" s="35"/>
      <c r="E175" s="35"/>
      <c r="F175" s="36"/>
      <c r="G175" s="37" t="str">
        <f aca="false">IF(F175="","",F175/Parámetros!$C$8)</f>
        <v/>
      </c>
    </row>
    <row r="176" customFormat="false" ht="15" hidden="false" customHeight="false" outlineLevel="0" collapsed="false">
      <c r="A176" s="33"/>
      <c r="B176" s="34"/>
      <c r="C176" s="35"/>
      <c r="D176" s="35"/>
      <c r="E176" s="35"/>
      <c r="F176" s="36"/>
      <c r="G176" s="37" t="str">
        <f aca="false">IF(F176="","",F176/Parámetros!$C$8)</f>
        <v/>
      </c>
    </row>
    <row r="177" customFormat="false" ht="15" hidden="false" customHeight="false" outlineLevel="0" collapsed="false">
      <c r="A177" s="33"/>
      <c r="B177" s="34"/>
      <c r="C177" s="35"/>
      <c r="D177" s="35"/>
      <c r="E177" s="35"/>
      <c r="F177" s="36"/>
      <c r="G177" s="37" t="str">
        <f aca="false">IF(F177="","",F177/Parámetros!$C$8)</f>
        <v/>
      </c>
    </row>
    <row r="178" customFormat="false" ht="15" hidden="false" customHeight="false" outlineLevel="0" collapsed="false">
      <c r="A178" s="33"/>
      <c r="B178" s="34"/>
      <c r="C178" s="35"/>
      <c r="D178" s="35"/>
      <c r="E178" s="35"/>
      <c r="F178" s="36"/>
      <c r="G178" s="37" t="str">
        <f aca="false">IF(F178="","",F178/Parámetros!$C$8)</f>
        <v/>
      </c>
    </row>
    <row r="179" customFormat="false" ht="15" hidden="false" customHeight="false" outlineLevel="0" collapsed="false">
      <c r="A179" s="33"/>
      <c r="B179" s="34"/>
      <c r="C179" s="35"/>
      <c r="D179" s="35"/>
      <c r="E179" s="35"/>
      <c r="F179" s="36"/>
      <c r="G179" s="37" t="str">
        <f aca="false">IF(F179="","",F179/Parámetros!$C$8)</f>
        <v/>
      </c>
    </row>
    <row r="180" customFormat="false" ht="15" hidden="false" customHeight="false" outlineLevel="0" collapsed="false">
      <c r="A180" s="33"/>
      <c r="B180" s="34"/>
      <c r="C180" s="35"/>
      <c r="D180" s="35"/>
      <c r="E180" s="35"/>
      <c r="F180" s="36"/>
      <c r="G180" s="37" t="str">
        <f aca="false">IF(F180="","",F180/Parámetros!$C$8)</f>
        <v/>
      </c>
    </row>
    <row r="181" customFormat="false" ht="15" hidden="false" customHeight="false" outlineLevel="0" collapsed="false">
      <c r="A181" s="33"/>
      <c r="B181" s="34"/>
      <c r="C181" s="35"/>
      <c r="D181" s="35"/>
      <c r="E181" s="35"/>
      <c r="F181" s="36"/>
      <c r="G181" s="37" t="str">
        <f aca="false">IF(F181="","",F181/Parámetros!$C$8)</f>
        <v/>
      </c>
    </row>
    <row r="182" customFormat="false" ht="15" hidden="false" customHeight="false" outlineLevel="0" collapsed="false">
      <c r="A182" s="33"/>
      <c r="B182" s="34"/>
      <c r="C182" s="35"/>
      <c r="D182" s="35"/>
      <c r="E182" s="35"/>
      <c r="F182" s="36"/>
      <c r="G182" s="37" t="str">
        <f aca="false">IF(F182="","",F182/Parámetros!$C$8)</f>
        <v/>
      </c>
    </row>
    <row r="183" customFormat="false" ht="15" hidden="false" customHeight="false" outlineLevel="0" collapsed="false">
      <c r="A183" s="33"/>
      <c r="B183" s="34"/>
      <c r="C183" s="35"/>
      <c r="D183" s="35"/>
      <c r="E183" s="35"/>
      <c r="F183" s="36"/>
      <c r="G183" s="37" t="str">
        <f aca="false">IF(F183="","",F183/Parámetros!$C$8)</f>
        <v/>
      </c>
    </row>
    <row r="184" customFormat="false" ht="15" hidden="false" customHeight="false" outlineLevel="0" collapsed="false">
      <c r="A184" s="33"/>
      <c r="B184" s="34"/>
      <c r="C184" s="35"/>
      <c r="D184" s="35"/>
      <c r="E184" s="35"/>
      <c r="F184" s="36"/>
      <c r="G184" s="37" t="str">
        <f aca="false">IF(F184="","",F184/Parámetros!$C$8)</f>
        <v/>
      </c>
    </row>
    <row r="185" customFormat="false" ht="15" hidden="false" customHeight="false" outlineLevel="0" collapsed="false">
      <c r="A185" s="33"/>
      <c r="B185" s="34"/>
      <c r="C185" s="35"/>
      <c r="D185" s="35"/>
      <c r="E185" s="35"/>
      <c r="F185" s="36"/>
      <c r="G185" s="37" t="str">
        <f aca="false">IF(F185="","",F185/Parámetros!$C$8)</f>
        <v/>
      </c>
    </row>
    <row r="186" customFormat="false" ht="15" hidden="false" customHeight="false" outlineLevel="0" collapsed="false">
      <c r="A186" s="33"/>
      <c r="B186" s="34"/>
      <c r="C186" s="35"/>
      <c r="D186" s="35"/>
      <c r="E186" s="35"/>
      <c r="F186" s="36"/>
      <c r="G186" s="37" t="str">
        <f aca="false">IF(F186="","",F186/Parámetros!$C$8)</f>
        <v/>
      </c>
    </row>
    <row r="187" customFormat="false" ht="15" hidden="false" customHeight="false" outlineLevel="0" collapsed="false">
      <c r="A187" s="33"/>
      <c r="B187" s="34"/>
      <c r="C187" s="35"/>
      <c r="D187" s="35"/>
      <c r="E187" s="35"/>
      <c r="F187" s="36"/>
      <c r="G187" s="37" t="str">
        <f aca="false">IF(F187="","",F187/Parámetros!$C$8)</f>
        <v/>
      </c>
    </row>
    <row r="188" customFormat="false" ht="15" hidden="false" customHeight="false" outlineLevel="0" collapsed="false">
      <c r="A188" s="33"/>
      <c r="B188" s="34"/>
      <c r="C188" s="35"/>
      <c r="D188" s="35"/>
      <c r="E188" s="35"/>
      <c r="F188" s="36"/>
      <c r="G188" s="37" t="str">
        <f aca="false">IF(F188="","",F188/Parámetros!$C$8)</f>
        <v/>
      </c>
    </row>
    <row r="189" customFormat="false" ht="15" hidden="false" customHeight="false" outlineLevel="0" collapsed="false">
      <c r="A189" s="33"/>
      <c r="B189" s="34"/>
      <c r="C189" s="35"/>
      <c r="D189" s="35"/>
      <c r="E189" s="35"/>
      <c r="F189" s="36"/>
      <c r="G189" s="37" t="str">
        <f aca="false">IF(F189="","",F189/Parámetros!$C$8)</f>
        <v/>
      </c>
    </row>
    <row r="190" customFormat="false" ht="15" hidden="false" customHeight="false" outlineLevel="0" collapsed="false">
      <c r="A190" s="33"/>
      <c r="B190" s="34"/>
      <c r="C190" s="35"/>
      <c r="D190" s="35"/>
      <c r="E190" s="35"/>
      <c r="F190" s="36"/>
      <c r="G190" s="37" t="str">
        <f aca="false">IF(F190="","",F190/Parámetros!$C$8)</f>
        <v/>
      </c>
    </row>
    <row r="191" customFormat="false" ht="15" hidden="false" customHeight="false" outlineLevel="0" collapsed="false">
      <c r="A191" s="33"/>
      <c r="B191" s="34"/>
      <c r="C191" s="35"/>
      <c r="D191" s="35"/>
      <c r="E191" s="35"/>
      <c r="F191" s="36"/>
      <c r="G191" s="37" t="str">
        <f aca="false">IF(F191="","",F191/Parámetros!$C$8)</f>
        <v/>
      </c>
    </row>
    <row r="192" customFormat="false" ht="15" hidden="false" customHeight="false" outlineLevel="0" collapsed="false">
      <c r="A192" s="33"/>
      <c r="B192" s="34"/>
      <c r="C192" s="35"/>
      <c r="D192" s="35"/>
      <c r="E192" s="35"/>
      <c r="F192" s="36"/>
      <c r="G192" s="37" t="str">
        <f aca="false">IF(F192="","",F192/Parámetros!$C$8)</f>
        <v/>
      </c>
    </row>
    <row r="193" customFormat="false" ht="15" hidden="false" customHeight="false" outlineLevel="0" collapsed="false">
      <c r="A193" s="33"/>
      <c r="B193" s="34"/>
      <c r="C193" s="35"/>
      <c r="D193" s="35"/>
      <c r="E193" s="35"/>
      <c r="F193" s="36"/>
      <c r="G193" s="37" t="str">
        <f aca="false">IF(F193="","",F193/Parámetros!$C$8)</f>
        <v/>
      </c>
    </row>
    <row r="194" customFormat="false" ht="15" hidden="false" customHeight="false" outlineLevel="0" collapsed="false">
      <c r="A194" s="33"/>
      <c r="B194" s="34"/>
      <c r="C194" s="35"/>
      <c r="D194" s="35"/>
      <c r="E194" s="35"/>
      <c r="F194" s="36"/>
      <c r="G194" s="37" t="str">
        <f aca="false">IF(F194="","",F194/Parámetros!$C$8)</f>
        <v/>
      </c>
    </row>
    <row r="195" customFormat="false" ht="15" hidden="false" customHeight="false" outlineLevel="0" collapsed="false">
      <c r="A195" s="33"/>
      <c r="B195" s="34"/>
      <c r="C195" s="35"/>
      <c r="D195" s="35"/>
      <c r="E195" s="35"/>
      <c r="F195" s="36"/>
      <c r="G195" s="37" t="str">
        <f aca="false">IF(F195="","",F195/Parámetros!$C$8)</f>
        <v/>
      </c>
    </row>
    <row r="196" customFormat="false" ht="15" hidden="false" customHeight="false" outlineLevel="0" collapsed="false">
      <c r="A196" s="33"/>
      <c r="B196" s="34"/>
      <c r="C196" s="35"/>
      <c r="D196" s="35"/>
      <c r="E196" s="35"/>
      <c r="F196" s="36"/>
      <c r="G196" s="37" t="str">
        <f aca="false">IF(F196="","",F196/Parámetros!$C$8)</f>
        <v/>
      </c>
    </row>
    <row r="197" customFormat="false" ht="15" hidden="false" customHeight="false" outlineLevel="0" collapsed="false">
      <c r="A197" s="33"/>
      <c r="B197" s="34"/>
      <c r="C197" s="35"/>
      <c r="D197" s="35"/>
      <c r="E197" s="35"/>
      <c r="F197" s="36"/>
      <c r="G197" s="37" t="str">
        <f aca="false">IF(F197="","",F197/Parámetros!$C$8)</f>
        <v/>
      </c>
    </row>
    <row r="198" customFormat="false" ht="15" hidden="false" customHeight="false" outlineLevel="0" collapsed="false">
      <c r="A198" s="33"/>
      <c r="B198" s="34"/>
      <c r="C198" s="35"/>
      <c r="D198" s="35"/>
      <c r="E198" s="35"/>
      <c r="F198" s="36"/>
      <c r="G198" s="37" t="str">
        <f aca="false">IF(F198="","",F198/Parámetros!$C$8)</f>
        <v/>
      </c>
    </row>
    <row r="199" customFormat="false" ht="15" hidden="false" customHeight="false" outlineLevel="0" collapsed="false">
      <c r="A199" s="33"/>
      <c r="B199" s="34"/>
      <c r="C199" s="35"/>
      <c r="D199" s="35"/>
      <c r="E199" s="35"/>
      <c r="F199" s="36"/>
      <c r="G199" s="37" t="str">
        <f aca="false">IF(F199="","",F199/Parámetros!$C$8)</f>
        <v/>
      </c>
    </row>
    <row r="200" customFormat="false" ht="15" hidden="false" customHeight="false" outlineLevel="0" collapsed="false">
      <c r="A200" s="33"/>
      <c r="B200" s="34"/>
      <c r="C200" s="35"/>
      <c r="D200" s="35"/>
      <c r="E200" s="35"/>
      <c r="F200" s="36"/>
      <c r="G200" s="37" t="str">
        <f aca="false">IF(F200="","",F200/Parámetros!$C$8)</f>
        <v/>
      </c>
    </row>
    <row r="201" customFormat="false" ht="15" hidden="false" customHeight="false" outlineLevel="0" collapsed="false">
      <c r="A201" s="33"/>
      <c r="B201" s="34"/>
      <c r="C201" s="35"/>
      <c r="D201" s="35"/>
      <c r="E201" s="35"/>
      <c r="F201" s="36"/>
      <c r="G201" s="37" t="str">
        <f aca="false">IF(F201="","",F201/Parámetros!$C$8)</f>
        <v/>
      </c>
    </row>
    <row r="202" customFormat="false" ht="15" hidden="false" customHeight="false" outlineLevel="0" collapsed="false">
      <c r="A202" s="33"/>
      <c r="B202" s="34"/>
      <c r="C202" s="35"/>
      <c r="D202" s="35"/>
      <c r="E202" s="35"/>
      <c r="F202" s="36"/>
      <c r="G202" s="37" t="str">
        <f aca="false">IF(F202="","",F202/Parámetros!$C$8)</f>
        <v/>
      </c>
    </row>
    <row r="203" customFormat="false" ht="15" hidden="false" customHeight="false" outlineLevel="0" collapsed="false">
      <c r="A203" s="33"/>
      <c r="B203" s="34"/>
      <c r="C203" s="35"/>
      <c r="D203" s="35"/>
      <c r="E203" s="35"/>
      <c r="F203" s="36"/>
      <c r="G203" s="37" t="str">
        <f aca="false">IF(F203="","",F203/Parámetros!$C$8)</f>
        <v/>
      </c>
    </row>
    <row r="204" customFormat="false" ht="15" hidden="false" customHeight="false" outlineLevel="0" collapsed="false">
      <c r="A204" s="33"/>
      <c r="B204" s="34"/>
      <c r="C204" s="35"/>
      <c r="D204" s="35"/>
      <c r="E204" s="35"/>
      <c r="F204" s="36"/>
      <c r="G204" s="37" t="str">
        <f aca="false">IF(F204="","",F204/Parámetros!$C$8)</f>
        <v/>
      </c>
    </row>
    <row r="205" customFormat="false" ht="15" hidden="false" customHeight="false" outlineLevel="0" collapsed="false">
      <c r="A205" s="33"/>
      <c r="B205" s="34"/>
      <c r="C205" s="35"/>
      <c r="D205" s="35"/>
      <c r="E205" s="35"/>
      <c r="F205" s="36"/>
      <c r="G205" s="37" t="str">
        <f aca="false">IF(F205="","",F205/Parámetros!$C$8)</f>
        <v/>
      </c>
    </row>
    <row r="206" customFormat="false" ht="15" hidden="false" customHeight="false" outlineLevel="0" collapsed="false">
      <c r="A206" s="33"/>
      <c r="B206" s="34"/>
      <c r="C206" s="35"/>
      <c r="D206" s="35"/>
      <c r="E206" s="35"/>
      <c r="F206" s="36"/>
      <c r="G206" s="37" t="str">
        <f aca="false">IF(F206="","",F206/Parámetros!$C$8)</f>
        <v/>
      </c>
    </row>
    <row r="207" customFormat="false" ht="15" hidden="false" customHeight="false" outlineLevel="0" collapsed="false">
      <c r="A207" s="33"/>
      <c r="B207" s="34"/>
      <c r="C207" s="35"/>
      <c r="D207" s="35"/>
      <c r="E207" s="35"/>
      <c r="F207" s="36"/>
      <c r="G207" s="37" t="str">
        <f aca="false">IF(F207="","",F207/Parámetros!$C$8)</f>
        <v/>
      </c>
    </row>
    <row r="208" customFormat="false" ht="15" hidden="false" customHeight="false" outlineLevel="0" collapsed="false">
      <c r="A208" s="33"/>
      <c r="B208" s="34"/>
      <c r="C208" s="35"/>
      <c r="D208" s="35"/>
      <c r="E208" s="35"/>
      <c r="F208" s="36"/>
      <c r="G208" s="37" t="str">
        <f aca="false">IF(F208="","",F208/Parámetros!$C$8)</f>
        <v/>
      </c>
    </row>
    <row r="209" customFormat="false" ht="15" hidden="false" customHeight="false" outlineLevel="0" collapsed="false">
      <c r="A209" s="33"/>
      <c r="B209" s="34"/>
      <c r="C209" s="35"/>
      <c r="D209" s="35"/>
      <c r="E209" s="35"/>
      <c r="F209" s="36"/>
      <c r="G209" s="37" t="str">
        <f aca="false">IF(F209="","",F209/Parámetros!$C$8)</f>
        <v/>
      </c>
    </row>
    <row r="210" customFormat="false" ht="15" hidden="false" customHeight="false" outlineLevel="0" collapsed="false">
      <c r="A210" s="33"/>
      <c r="B210" s="34"/>
      <c r="C210" s="35"/>
      <c r="D210" s="35"/>
      <c r="E210" s="35"/>
      <c r="F210" s="36"/>
      <c r="G210" s="37" t="str">
        <f aca="false">IF(F210="","",F210/Parámetros!$C$8)</f>
        <v/>
      </c>
    </row>
    <row r="211" customFormat="false" ht="15" hidden="false" customHeight="false" outlineLevel="0" collapsed="false">
      <c r="A211" s="33"/>
      <c r="B211" s="34"/>
      <c r="C211" s="35"/>
      <c r="D211" s="35"/>
      <c r="E211" s="35"/>
      <c r="F211" s="36"/>
      <c r="G211" s="37" t="str">
        <f aca="false">IF(F211="","",F211/Parámetros!$C$8)</f>
        <v/>
      </c>
    </row>
    <row r="212" customFormat="false" ht="15" hidden="false" customHeight="false" outlineLevel="0" collapsed="false">
      <c r="A212" s="33"/>
      <c r="B212" s="34"/>
      <c r="C212" s="35"/>
      <c r="D212" s="35"/>
      <c r="E212" s="35"/>
      <c r="F212" s="36"/>
      <c r="G212" s="37" t="str">
        <f aca="false">IF(F212="","",F212/Parámetros!$C$8)</f>
        <v/>
      </c>
    </row>
    <row r="213" customFormat="false" ht="15" hidden="false" customHeight="false" outlineLevel="0" collapsed="false">
      <c r="A213" s="33"/>
      <c r="B213" s="34"/>
      <c r="C213" s="35"/>
      <c r="D213" s="35"/>
      <c r="E213" s="35"/>
      <c r="F213" s="36"/>
      <c r="G213" s="37" t="str">
        <f aca="false">IF(F213="","",F213/Parámetros!$C$8)</f>
        <v/>
      </c>
    </row>
    <row r="214" customFormat="false" ht="15" hidden="false" customHeight="false" outlineLevel="0" collapsed="false">
      <c r="A214" s="33"/>
      <c r="B214" s="34"/>
      <c r="C214" s="35"/>
      <c r="D214" s="35"/>
      <c r="E214" s="35"/>
      <c r="F214" s="36"/>
      <c r="G214" s="37" t="str">
        <f aca="false">IF(F214="","",F214/Parámetros!$C$8)</f>
        <v/>
      </c>
    </row>
    <row r="215" customFormat="false" ht="15" hidden="false" customHeight="false" outlineLevel="0" collapsed="false">
      <c r="A215" s="33"/>
      <c r="B215" s="34"/>
      <c r="C215" s="35"/>
      <c r="D215" s="35"/>
      <c r="E215" s="35"/>
      <c r="F215" s="36"/>
      <c r="G215" s="37" t="str">
        <f aca="false">IF(F215="","",F215/Parámetros!$C$8)</f>
        <v/>
      </c>
    </row>
    <row r="216" customFormat="false" ht="15" hidden="false" customHeight="false" outlineLevel="0" collapsed="false">
      <c r="A216" s="33"/>
      <c r="B216" s="34"/>
      <c r="C216" s="35"/>
      <c r="D216" s="35"/>
      <c r="E216" s="35"/>
      <c r="F216" s="36"/>
      <c r="G216" s="37" t="str">
        <f aca="false">IF(F216="","",F216/Parámetros!$C$8)</f>
        <v/>
      </c>
    </row>
    <row r="217" customFormat="false" ht="15" hidden="false" customHeight="false" outlineLevel="0" collapsed="false">
      <c r="A217" s="33"/>
      <c r="B217" s="34"/>
      <c r="C217" s="35"/>
      <c r="D217" s="35"/>
      <c r="E217" s="35"/>
      <c r="F217" s="36"/>
      <c r="G217" s="37" t="str">
        <f aca="false">IF(F217="","",F217/Parámetros!$C$8)</f>
        <v/>
      </c>
    </row>
    <row r="218" customFormat="false" ht="15" hidden="false" customHeight="false" outlineLevel="0" collapsed="false">
      <c r="A218" s="33"/>
      <c r="B218" s="34"/>
      <c r="C218" s="35"/>
      <c r="D218" s="35"/>
      <c r="E218" s="35"/>
      <c r="F218" s="36"/>
      <c r="G218" s="37" t="str">
        <f aca="false">IF(F218="","",F218/Parámetros!$C$8)</f>
        <v/>
      </c>
    </row>
    <row r="219" customFormat="false" ht="15" hidden="false" customHeight="false" outlineLevel="0" collapsed="false">
      <c r="A219" s="33"/>
      <c r="B219" s="34"/>
      <c r="C219" s="35"/>
      <c r="D219" s="35"/>
      <c r="E219" s="35"/>
      <c r="F219" s="36"/>
      <c r="G219" s="37" t="str">
        <f aca="false">IF(F219="","",F219/Parámetros!$C$8)</f>
        <v/>
      </c>
    </row>
    <row r="220" customFormat="false" ht="15" hidden="false" customHeight="false" outlineLevel="0" collapsed="false">
      <c r="A220" s="33"/>
      <c r="B220" s="34"/>
      <c r="C220" s="35"/>
      <c r="D220" s="35"/>
      <c r="E220" s="35"/>
      <c r="F220" s="36"/>
      <c r="G220" s="37" t="str">
        <f aca="false">IF(F220="","",F220/Parámetros!$C$8)</f>
        <v/>
      </c>
    </row>
    <row r="221" customFormat="false" ht="15" hidden="false" customHeight="false" outlineLevel="0" collapsed="false">
      <c r="A221" s="33"/>
      <c r="B221" s="34"/>
      <c r="C221" s="35"/>
      <c r="D221" s="35"/>
      <c r="E221" s="35"/>
      <c r="F221" s="36"/>
      <c r="G221" s="37" t="str">
        <f aca="false">IF(F221="","",F221/Parámetros!$C$8)</f>
        <v/>
      </c>
    </row>
    <row r="222" customFormat="false" ht="15" hidden="false" customHeight="false" outlineLevel="0" collapsed="false">
      <c r="A222" s="33"/>
      <c r="B222" s="34"/>
      <c r="C222" s="35"/>
      <c r="D222" s="35"/>
      <c r="E222" s="35"/>
      <c r="F222" s="36"/>
      <c r="G222" s="37" t="str">
        <f aca="false">IF(F222="","",F222/Parámetros!$C$8)</f>
        <v/>
      </c>
    </row>
    <row r="223" customFormat="false" ht="15" hidden="false" customHeight="false" outlineLevel="0" collapsed="false">
      <c r="A223" s="33"/>
      <c r="B223" s="34"/>
      <c r="C223" s="35"/>
      <c r="D223" s="35"/>
      <c r="E223" s="35"/>
      <c r="F223" s="36"/>
      <c r="G223" s="37" t="str">
        <f aca="false">IF(F223="","",F223/Parámetros!$C$8)</f>
        <v/>
      </c>
    </row>
    <row r="224" customFormat="false" ht="15" hidden="false" customHeight="false" outlineLevel="0" collapsed="false">
      <c r="A224" s="33"/>
      <c r="B224" s="34"/>
      <c r="C224" s="35"/>
      <c r="D224" s="35"/>
      <c r="E224" s="35"/>
      <c r="F224" s="36"/>
      <c r="G224" s="37" t="str">
        <f aca="false">IF(F224="","",F224/Parámetros!$C$8)</f>
        <v/>
      </c>
    </row>
    <row r="225" customFormat="false" ht="15" hidden="false" customHeight="false" outlineLevel="0" collapsed="false">
      <c r="A225" s="33"/>
      <c r="B225" s="34"/>
      <c r="C225" s="35"/>
      <c r="D225" s="35"/>
      <c r="E225" s="35"/>
      <c r="F225" s="36"/>
      <c r="G225" s="37" t="str">
        <f aca="false">IF(F225="","",F225/Parámetros!$C$8)</f>
        <v/>
      </c>
    </row>
    <row r="226" customFormat="false" ht="15" hidden="false" customHeight="false" outlineLevel="0" collapsed="false">
      <c r="A226" s="33"/>
      <c r="B226" s="34"/>
      <c r="C226" s="35"/>
      <c r="D226" s="35"/>
      <c r="E226" s="35"/>
      <c r="F226" s="36"/>
      <c r="G226" s="37" t="str">
        <f aca="false">IF(F226="","",F226/Parámetros!$C$8)</f>
        <v/>
      </c>
    </row>
    <row r="227" customFormat="false" ht="15" hidden="false" customHeight="false" outlineLevel="0" collapsed="false">
      <c r="A227" s="33"/>
      <c r="B227" s="34"/>
      <c r="C227" s="35"/>
      <c r="D227" s="35"/>
      <c r="E227" s="35"/>
      <c r="F227" s="36"/>
      <c r="G227" s="37" t="str">
        <f aca="false">IF(F227="","",F227/Parámetros!$C$8)</f>
        <v/>
      </c>
    </row>
    <row r="228" customFormat="false" ht="15" hidden="false" customHeight="false" outlineLevel="0" collapsed="false">
      <c r="A228" s="33"/>
      <c r="B228" s="34"/>
      <c r="C228" s="35"/>
      <c r="D228" s="35"/>
      <c r="E228" s="35"/>
      <c r="F228" s="36"/>
      <c r="G228" s="37" t="str">
        <f aca="false">IF(F228="","",F228/Parámetros!$C$8)</f>
        <v/>
      </c>
    </row>
    <row r="229" customFormat="false" ht="15" hidden="false" customHeight="false" outlineLevel="0" collapsed="false">
      <c r="A229" s="33"/>
      <c r="B229" s="34"/>
      <c r="C229" s="35"/>
      <c r="D229" s="35"/>
      <c r="E229" s="35"/>
      <c r="F229" s="36"/>
      <c r="G229" s="37" t="str">
        <f aca="false">IF(F229="","",F229/Parámetros!$C$8)</f>
        <v/>
      </c>
    </row>
    <row r="230" customFormat="false" ht="15" hidden="false" customHeight="false" outlineLevel="0" collapsed="false">
      <c r="A230" s="33"/>
      <c r="B230" s="34"/>
      <c r="C230" s="35"/>
      <c r="D230" s="35"/>
      <c r="E230" s="35"/>
      <c r="F230" s="36"/>
      <c r="G230" s="37" t="str">
        <f aca="false">IF(F230="","",F230/Parámetros!$C$8)</f>
        <v/>
      </c>
    </row>
    <row r="231" customFormat="false" ht="15" hidden="false" customHeight="false" outlineLevel="0" collapsed="false">
      <c r="A231" s="33"/>
      <c r="B231" s="34"/>
      <c r="C231" s="35"/>
      <c r="D231" s="35"/>
      <c r="E231" s="35"/>
      <c r="F231" s="36"/>
      <c r="G231" s="37" t="str">
        <f aca="false">IF(F231="","",F231/Parámetros!$C$8)</f>
        <v/>
      </c>
    </row>
    <row r="232" customFormat="false" ht="15" hidden="false" customHeight="false" outlineLevel="0" collapsed="false">
      <c r="A232" s="33"/>
      <c r="B232" s="34"/>
      <c r="C232" s="35"/>
      <c r="D232" s="35"/>
      <c r="E232" s="35"/>
      <c r="F232" s="36"/>
      <c r="G232" s="37" t="str">
        <f aca="false">IF(F232="","",F232/Parámetros!$C$8)</f>
        <v/>
      </c>
    </row>
    <row r="233" customFormat="false" ht="15" hidden="false" customHeight="false" outlineLevel="0" collapsed="false">
      <c r="A233" s="33"/>
      <c r="B233" s="34"/>
      <c r="C233" s="35"/>
      <c r="D233" s="35"/>
      <c r="E233" s="35"/>
      <c r="F233" s="36"/>
      <c r="G233" s="37" t="str">
        <f aca="false">IF(F233="","",F233/Parámetros!$C$8)</f>
        <v/>
      </c>
    </row>
    <row r="234" customFormat="false" ht="15" hidden="false" customHeight="false" outlineLevel="0" collapsed="false">
      <c r="A234" s="33"/>
      <c r="B234" s="34"/>
      <c r="C234" s="35"/>
      <c r="D234" s="35"/>
      <c r="E234" s="35"/>
      <c r="F234" s="36"/>
      <c r="G234" s="37" t="str">
        <f aca="false">IF(F234="","",F234/Parámetros!$C$8)</f>
        <v/>
      </c>
    </row>
    <row r="235" customFormat="false" ht="15" hidden="false" customHeight="false" outlineLevel="0" collapsed="false">
      <c r="A235" s="33"/>
      <c r="B235" s="34"/>
      <c r="C235" s="35"/>
      <c r="D235" s="35"/>
      <c r="E235" s="35"/>
      <c r="F235" s="36"/>
      <c r="G235" s="37" t="str">
        <f aca="false">IF(F235="","",F235/Parámetros!$C$8)</f>
        <v/>
      </c>
    </row>
    <row r="236" customFormat="false" ht="15" hidden="false" customHeight="false" outlineLevel="0" collapsed="false">
      <c r="A236" s="33"/>
      <c r="B236" s="34"/>
      <c r="C236" s="35"/>
      <c r="D236" s="35"/>
      <c r="E236" s="35"/>
      <c r="F236" s="36"/>
      <c r="G236" s="37" t="str">
        <f aca="false">IF(F236="","",F236/Parámetros!$C$8)</f>
        <v/>
      </c>
    </row>
    <row r="237" customFormat="false" ht="15" hidden="false" customHeight="false" outlineLevel="0" collapsed="false">
      <c r="A237" s="33"/>
      <c r="B237" s="34"/>
      <c r="C237" s="35"/>
      <c r="D237" s="35"/>
      <c r="E237" s="35"/>
      <c r="F237" s="36"/>
      <c r="G237" s="37" t="str">
        <f aca="false">IF(F237="","",F237/Parámetros!$C$8)</f>
        <v/>
      </c>
    </row>
    <row r="238" customFormat="false" ht="15" hidden="false" customHeight="false" outlineLevel="0" collapsed="false">
      <c r="A238" s="33"/>
      <c r="B238" s="34"/>
      <c r="C238" s="35"/>
      <c r="D238" s="35"/>
      <c r="E238" s="35"/>
      <c r="F238" s="36"/>
      <c r="G238" s="37" t="str">
        <f aca="false">IF(F238="","",F238/Parámetros!$C$8)</f>
        <v/>
      </c>
    </row>
    <row r="239" customFormat="false" ht="15" hidden="false" customHeight="false" outlineLevel="0" collapsed="false">
      <c r="A239" s="33"/>
      <c r="B239" s="34"/>
      <c r="C239" s="35"/>
      <c r="D239" s="35"/>
      <c r="E239" s="35"/>
      <c r="F239" s="36"/>
      <c r="G239" s="37" t="str">
        <f aca="false">IF(F239="","",F239/Parámetros!$C$8)</f>
        <v/>
      </c>
    </row>
    <row r="240" customFormat="false" ht="15" hidden="false" customHeight="false" outlineLevel="0" collapsed="false">
      <c r="A240" s="33"/>
      <c r="B240" s="34"/>
      <c r="C240" s="35"/>
      <c r="D240" s="35"/>
      <c r="E240" s="35"/>
      <c r="F240" s="36"/>
      <c r="G240" s="37" t="str">
        <f aca="false">IF(F240="","",F240/Parámetros!$C$8)</f>
        <v/>
      </c>
    </row>
    <row r="241" customFormat="false" ht="15" hidden="false" customHeight="false" outlineLevel="0" collapsed="false">
      <c r="A241" s="33"/>
      <c r="B241" s="34"/>
      <c r="C241" s="35"/>
      <c r="D241" s="35"/>
      <c r="E241" s="35"/>
      <c r="F241" s="36"/>
      <c r="G241" s="37" t="str">
        <f aca="false">IF(F241="","",F241/Parámetros!$C$8)</f>
        <v/>
      </c>
    </row>
    <row r="242" customFormat="false" ht="15" hidden="false" customHeight="false" outlineLevel="0" collapsed="false">
      <c r="A242" s="33"/>
      <c r="B242" s="34"/>
      <c r="C242" s="35"/>
      <c r="D242" s="35"/>
      <c r="E242" s="35"/>
      <c r="F242" s="36"/>
      <c r="G242" s="37" t="str">
        <f aca="false">IF(F242="","",F242/Parámetros!$C$8)</f>
        <v/>
      </c>
    </row>
    <row r="243" customFormat="false" ht="15" hidden="false" customHeight="false" outlineLevel="0" collapsed="false">
      <c r="A243" s="33"/>
      <c r="B243" s="34"/>
      <c r="C243" s="35"/>
      <c r="D243" s="35"/>
      <c r="E243" s="35"/>
      <c r="F243" s="36"/>
      <c r="G243" s="37" t="str">
        <f aca="false">IF(F243="","",F243/Parámetros!$C$8)</f>
        <v/>
      </c>
    </row>
    <row r="244" customFormat="false" ht="15" hidden="false" customHeight="false" outlineLevel="0" collapsed="false">
      <c r="A244" s="33"/>
      <c r="B244" s="34"/>
      <c r="C244" s="35"/>
      <c r="D244" s="35"/>
      <c r="E244" s="35"/>
      <c r="F244" s="36"/>
      <c r="G244" s="37" t="str">
        <f aca="false">IF(F244="","",F244/Parámetros!$C$8)</f>
        <v/>
      </c>
    </row>
    <row r="245" customFormat="false" ht="15" hidden="false" customHeight="false" outlineLevel="0" collapsed="false">
      <c r="A245" s="33"/>
      <c r="B245" s="34"/>
      <c r="C245" s="35"/>
      <c r="D245" s="35"/>
      <c r="E245" s="35"/>
      <c r="F245" s="36"/>
      <c r="G245" s="37" t="str">
        <f aca="false">IF(F245="","",F245/Parámetros!$C$8)</f>
        <v/>
      </c>
    </row>
    <row r="246" customFormat="false" ht="15" hidden="false" customHeight="false" outlineLevel="0" collapsed="false">
      <c r="A246" s="33"/>
      <c r="B246" s="34"/>
      <c r="C246" s="35"/>
      <c r="D246" s="35"/>
      <c r="E246" s="35"/>
      <c r="F246" s="36"/>
      <c r="G246" s="37" t="str">
        <f aca="false">IF(F246="","",F246/Parámetros!$C$8)</f>
        <v/>
      </c>
    </row>
    <row r="247" customFormat="false" ht="15" hidden="false" customHeight="false" outlineLevel="0" collapsed="false">
      <c r="A247" s="33"/>
      <c r="B247" s="34"/>
      <c r="C247" s="35"/>
      <c r="D247" s="35"/>
      <c r="E247" s="35"/>
      <c r="F247" s="36"/>
      <c r="G247" s="37" t="str">
        <f aca="false">IF(F247="","",F247/Parámetros!$C$8)</f>
        <v/>
      </c>
    </row>
    <row r="248" customFormat="false" ht="15" hidden="false" customHeight="false" outlineLevel="0" collapsed="false">
      <c r="A248" s="33"/>
      <c r="B248" s="34"/>
      <c r="C248" s="35"/>
      <c r="D248" s="35"/>
      <c r="E248" s="35"/>
      <c r="F248" s="36"/>
      <c r="G248" s="37" t="str">
        <f aca="false">IF(F248="","",F248/Parámetros!$C$8)</f>
        <v/>
      </c>
    </row>
    <row r="249" customFormat="false" ht="15" hidden="false" customHeight="false" outlineLevel="0" collapsed="false">
      <c r="A249" s="33"/>
      <c r="B249" s="34"/>
      <c r="C249" s="35"/>
      <c r="D249" s="35"/>
      <c r="E249" s="35"/>
      <c r="F249" s="36"/>
      <c r="G249" s="37" t="str">
        <f aca="false">IF(F249="","",F249/Parámetros!$C$8)</f>
        <v/>
      </c>
    </row>
    <row r="250" customFormat="false" ht="15" hidden="false" customHeight="false" outlineLevel="0" collapsed="false">
      <c r="A250" s="33"/>
      <c r="B250" s="34"/>
      <c r="C250" s="35"/>
      <c r="D250" s="35"/>
      <c r="E250" s="35"/>
      <c r="F250" s="36"/>
      <c r="G250" s="37" t="str">
        <f aca="false">IF(F250="","",F250/Parámetros!$C$8)</f>
        <v/>
      </c>
    </row>
    <row r="251" customFormat="false" ht="15" hidden="false" customHeight="false" outlineLevel="0" collapsed="false">
      <c r="A251" s="33"/>
      <c r="B251" s="34"/>
      <c r="C251" s="35"/>
      <c r="D251" s="35"/>
      <c r="E251" s="35"/>
      <c r="F251" s="36"/>
      <c r="G251" s="37" t="str">
        <f aca="false">IF(F251="","",F251/Parámetros!$C$8)</f>
        <v/>
      </c>
    </row>
    <row r="252" customFormat="false" ht="15" hidden="false" customHeight="false" outlineLevel="0" collapsed="false">
      <c r="A252" s="33"/>
      <c r="B252" s="34"/>
      <c r="C252" s="35"/>
      <c r="D252" s="35"/>
      <c r="E252" s="35"/>
      <c r="F252" s="36"/>
      <c r="G252" s="37" t="str">
        <f aca="false">IF(F252="","",F252/Parámetros!$C$8)</f>
        <v/>
      </c>
    </row>
    <row r="253" customFormat="false" ht="15" hidden="false" customHeight="false" outlineLevel="0" collapsed="false">
      <c r="A253" s="33"/>
      <c r="B253" s="34"/>
      <c r="C253" s="35"/>
      <c r="D253" s="35"/>
      <c r="E253" s="35"/>
      <c r="F253" s="36"/>
      <c r="G253" s="37" t="str">
        <f aca="false">IF(F253="","",F253/Parámetros!$C$8)</f>
        <v/>
      </c>
    </row>
    <row r="254" customFormat="false" ht="15" hidden="false" customHeight="false" outlineLevel="0" collapsed="false">
      <c r="A254" s="33"/>
      <c r="B254" s="34"/>
      <c r="C254" s="35"/>
      <c r="D254" s="35"/>
      <c r="E254" s="35"/>
      <c r="F254" s="36"/>
      <c r="G254" s="37" t="str">
        <f aca="false">IF(F254="","",F254/Parámetros!$C$8)</f>
        <v/>
      </c>
    </row>
    <row r="255" customFormat="false" ht="15" hidden="false" customHeight="false" outlineLevel="0" collapsed="false">
      <c r="A255" s="33"/>
      <c r="B255" s="34"/>
      <c r="C255" s="35"/>
      <c r="D255" s="35"/>
      <c r="E255" s="35"/>
      <c r="F255" s="36"/>
      <c r="G255" s="37" t="str">
        <f aca="false">IF(F255="","",F255/Parámetros!$C$8)</f>
        <v/>
      </c>
    </row>
    <row r="256" customFormat="false" ht="15" hidden="false" customHeight="false" outlineLevel="0" collapsed="false">
      <c r="A256" s="33"/>
      <c r="B256" s="34"/>
      <c r="C256" s="35"/>
      <c r="D256" s="35"/>
      <c r="E256" s="35"/>
      <c r="F256" s="36"/>
      <c r="G256" s="37" t="str">
        <f aca="false">IF(F256="","",F256/Parámetros!$C$8)</f>
        <v/>
      </c>
    </row>
    <row r="257" customFormat="false" ht="15" hidden="false" customHeight="false" outlineLevel="0" collapsed="false">
      <c r="A257" s="33"/>
      <c r="B257" s="34"/>
      <c r="C257" s="35"/>
      <c r="D257" s="35"/>
      <c r="E257" s="35"/>
      <c r="F257" s="36"/>
      <c r="G257" s="37" t="str">
        <f aca="false">IF(F257="","",F257/Parámetros!$C$8)</f>
        <v/>
      </c>
    </row>
    <row r="258" customFormat="false" ht="15" hidden="false" customHeight="false" outlineLevel="0" collapsed="false">
      <c r="A258" s="33"/>
      <c r="B258" s="34"/>
      <c r="C258" s="35"/>
      <c r="D258" s="35"/>
      <c r="E258" s="35"/>
      <c r="F258" s="36"/>
      <c r="G258" s="37" t="str">
        <f aca="false">IF(F258="","",F258/Parámetros!$C$8)</f>
        <v/>
      </c>
    </row>
    <row r="259" customFormat="false" ht="15" hidden="false" customHeight="false" outlineLevel="0" collapsed="false">
      <c r="A259" s="33"/>
      <c r="B259" s="34"/>
      <c r="C259" s="35"/>
      <c r="D259" s="35"/>
      <c r="E259" s="35"/>
      <c r="F259" s="36"/>
      <c r="G259" s="37" t="str">
        <f aca="false">IF(F259="","",F259/Parámetros!$C$8)</f>
        <v/>
      </c>
    </row>
    <row r="260" customFormat="false" ht="15" hidden="false" customHeight="false" outlineLevel="0" collapsed="false">
      <c r="A260" s="33"/>
      <c r="B260" s="34"/>
      <c r="C260" s="35"/>
      <c r="D260" s="35"/>
      <c r="E260" s="35"/>
      <c r="F260" s="36"/>
      <c r="G260" s="37" t="str">
        <f aca="false">IF(F260="","",F260/Parámetros!$C$8)</f>
        <v/>
      </c>
    </row>
    <row r="261" customFormat="false" ht="15" hidden="false" customHeight="false" outlineLevel="0" collapsed="false">
      <c r="A261" s="33"/>
      <c r="B261" s="34"/>
      <c r="C261" s="35"/>
      <c r="D261" s="35"/>
      <c r="E261" s="35"/>
      <c r="F261" s="36"/>
      <c r="G261" s="37" t="str">
        <f aca="false">IF(F261="","",F261/Parámetros!$C$8)</f>
        <v/>
      </c>
    </row>
    <row r="262" customFormat="false" ht="15" hidden="false" customHeight="false" outlineLevel="0" collapsed="false">
      <c r="A262" s="33"/>
      <c r="B262" s="34"/>
      <c r="C262" s="35"/>
      <c r="D262" s="35"/>
      <c r="E262" s="35"/>
      <c r="F262" s="36"/>
      <c r="G262" s="37" t="str">
        <f aca="false">IF(F262="","",F262/Parámetros!$C$8)</f>
        <v/>
      </c>
    </row>
    <row r="263" customFormat="false" ht="15" hidden="false" customHeight="false" outlineLevel="0" collapsed="false">
      <c r="A263" s="33"/>
      <c r="B263" s="34"/>
      <c r="C263" s="35"/>
      <c r="D263" s="35"/>
      <c r="E263" s="35"/>
      <c r="F263" s="36"/>
      <c r="G263" s="37" t="str">
        <f aca="false">IF(F263="","",F263/Parámetros!$C$8)</f>
        <v/>
      </c>
    </row>
    <row r="264" customFormat="false" ht="15" hidden="false" customHeight="false" outlineLevel="0" collapsed="false">
      <c r="A264" s="33"/>
      <c r="B264" s="34"/>
      <c r="C264" s="35"/>
      <c r="D264" s="35"/>
      <c r="E264" s="35"/>
      <c r="F264" s="36"/>
      <c r="G264" s="37" t="str">
        <f aca="false">IF(F264="","",F264/Parámetros!$C$8)</f>
        <v/>
      </c>
    </row>
    <row r="265" customFormat="false" ht="15" hidden="false" customHeight="false" outlineLevel="0" collapsed="false">
      <c r="A265" s="33"/>
      <c r="B265" s="34"/>
      <c r="C265" s="35"/>
      <c r="D265" s="35"/>
      <c r="E265" s="35"/>
      <c r="F265" s="36"/>
      <c r="G265" s="37" t="str">
        <f aca="false">IF(F265="","",F265/Parámetros!$C$8)</f>
        <v/>
      </c>
    </row>
    <row r="266" customFormat="false" ht="15" hidden="false" customHeight="false" outlineLevel="0" collapsed="false">
      <c r="A266" s="33"/>
      <c r="B266" s="34"/>
      <c r="C266" s="35"/>
      <c r="D266" s="35"/>
      <c r="E266" s="35"/>
      <c r="F266" s="36"/>
      <c r="G266" s="37" t="str">
        <f aca="false">IF(F266="","",F266/Parámetros!$C$8)</f>
        <v/>
      </c>
    </row>
    <row r="267" customFormat="false" ht="15" hidden="false" customHeight="false" outlineLevel="0" collapsed="false">
      <c r="A267" s="33"/>
      <c r="B267" s="34"/>
      <c r="C267" s="35"/>
      <c r="D267" s="35"/>
      <c r="E267" s="35"/>
      <c r="F267" s="36"/>
      <c r="G267" s="37" t="str">
        <f aca="false">IF(F267="","",F267/Parámetros!$C$8)</f>
        <v/>
      </c>
    </row>
    <row r="268" customFormat="false" ht="15" hidden="false" customHeight="false" outlineLevel="0" collapsed="false">
      <c r="A268" s="33"/>
      <c r="B268" s="34"/>
      <c r="C268" s="35"/>
      <c r="D268" s="35"/>
      <c r="E268" s="35"/>
      <c r="F268" s="36"/>
      <c r="G268" s="37" t="str">
        <f aca="false">IF(F268="","",F268/Parámetros!$C$8)</f>
        <v/>
      </c>
    </row>
    <row r="269" customFormat="false" ht="15" hidden="false" customHeight="false" outlineLevel="0" collapsed="false">
      <c r="A269" s="33"/>
      <c r="B269" s="34"/>
      <c r="C269" s="35"/>
      <c r="D269" s="35"/>
      <c r="E269" s="35"/>
      <c r="F269" s="36"/>
      <c r="G269" s="37" t="str">
        <f aca="false">IF(F269="","",F269/Parámetros!$C$8)</f>
        <v/>
      </c>
    </row>
    <row r="270" customFormat="false" ht="15" hidden="false" customHeight="false" outlineLevel="0" collapsed="false">
      <c r="A270" s="33"/>
      <c r="B270" s="34"/>
      <c r="C270" s="35"/>
      <c r="D270" s="35"/>
      <c r="E270" s="35"/>
      <c r="F270" s="36"/>
      <c r="G270" s="37" t="str">
        <f aca="false">IF(F270="","",F270/Parámetros!$C$8)</f>
        <v/>
      </c>
    </row>
    <row r="271" customFormat="false" ht="15" hidden="false" customHeight="false" outlineLevel="0" collapsed="false">
      <c r="A271" s="33"/>
      <c r="B271" s="34"/>
      <c r="C271" s="35"/>
      <c r="D271" s="35"/>
      <c r="E271" s="35"/>
      <c r="F271" s="36"/>
      <c r="G271" s="37" t="str">
        <f aca="false">IF(F271="","",F271/Parámetros!$C$8)</f>
        <v/>
      </c>
    </row>
    <row r="272" customFormat="false" ht="15" hidden="false" customHeight="false" outlineLevel="0" collapsed="false">
      <c r="A272" s="33"/>
      <c r="B272" s="34"/>
      <c r="C272" s="35"/>
      <c r="D272" s="35"/>
      <c r="E272" s="35"/>
      <c r="F272" s="36"/>
      <c r="G272" s="37" t="str">
        <f aca="false">IF(F272="","",F272/Parámetros!$C$8)</f>
        <v/>
      </c>
    </row>
    <row r="273" customFormat="false" ht="15" hidden="false" customHeight="false" outlineLevel="0" collapsed="false">
      <c r="A273" s="33"/>
      <c r="B273" s="34"/>
      <c r="C273" s="35"/>
      <c r="D273" s="35"/>
      <c r="E273" s="35"/>
      <c r="F273" s="36"/>
      <c r="G273" s="37" t="str">
        <f aca="false">IF(F273="","",F273/Parámetros!$C$8)</f>
        <v/>
      </c>
    </row>
    <row r="274" customFormat="false" ht="15" hidden="false" customHeight="false" outlineLevel="0" collapsed="false">
      <c r="A274" s="33"/>
      <c r="B274" s="34"/>
      <c r="C274" s="35"/>
      <c r="D274" s="35"/>
      <c r="E274" s="35"/>
      <c r="F274" s="36"/>
      <c r="G274" s="37" t="str">
        <f aca="false">IF(F274="","",F274/Parámetros!$C$8)</f>
        <v/>
      </c>
    </row>
    <row r="275" customFormat="false" ht="15" hidden="false" customHeight="false" outlineLevel="0" collapsed="false">
      <c r="A275" s="33"/>
      <c r="B275" s="34"/>
      <c r="C275" s="35"/>
      <c r="D275" s="35"/>
      <c r="E275" s="35"/>
      <c r="F275" s="36"/>
      <c r="G275" s="37" t="str">
        <f aca="false">IF(F275="","",F275/Parámetros!$C$8)</f>
        <v/>
      </c>
    </row>
    <row r="276" customFormat="false" ht="15" hidden="false" customHeight="false" outlineLevel="0" collapsed="false">
      <c r="A276" s="33"/>
      <c r="B276" s="34"/>
      <c r="C276" s="35"/>
      <c r="D276" s="35"/>
      <c r="E276" s="35"/>
      <c r="F276" s="36"/>
      <c r="G276" s="37" t="str">
        <f aca="false">IF(F276="","",F276/Parámetros!$C$8)</f>
        <v/>
      </c>
    </row>
    <row r="277" customFormat="false" ht="15" hidden="false" customHeight="false" outlineLevel="0" collapsed="false">
      <c r="A277" s="33"/>
      <c r="B277" s="34"/>
      <c r="C277" s="35"/>
      <c r="D277" s="35"/>
      <c r="E277" s="35"/>
      <c r="F277" s="36"/>
      <c r="G277" s="37" t="str">
        <f aca="false">IF(F277="","",F277/Parámetros!$C$8)</f>
        <v/>
      </c>
    </row>
    <row r="278" customFormat="false" ht="15" hidden="false" customHeight="false" outlineLevel="0" collapsed="false">
      <c r="A278" s="33"/>
      <c r="B278" s="34"/>
      <c r="C278" s="35"/>
      <c r="D278" s="35"/>
      <c r="E278" s="35"/>
      <c r="F278" s="36"/>
      <c r="G278" s="37" t="str">
        <f aca="false">IF(F278="","",F278/Parámetros!$C$8)</f>
        <v/>
      </c>
    </row>
    <row r="279" customFormat="false" ht="15" hidden="false" customHeight="false" outlineLevel="0" collapsed="false">
      <c r="A279" s="33"/>
      <c r="B279" s="34"/>
      <c r="C279" s="35"/>
      <c r="D279" s="35"/>
      <c r="E279" s="35"/>
      <c r="F279" s="36"/>
      <c r="G279" s="37" t="str">
        <f aca="false">IF(F279="","",F279/Parámetros!$C$8)</f>
        <v/>
      </c>
    </row>
    <row r="280" customFormat="false" ht="15" hidden="false" customHeight="false" outlineLevel="0" collapsed="false">
      <c r="A280" s="33"/>
      <c r="B280" s="34"/>
      <c r="C280" s="35"/>
      <c r="D280" s="35"/>
      <c r="E280" s="35"/>
      <c r="F280" s="36"/>
      <c r="G280" s="37" t="str">
        <f aca="false">IF(F280="","",F280/Parámetros!$C$8)</f>
        <v/>
      </c>
    </row>
    <row r="281" customFormat="false" ht="15" hidden="false" customHeight="false" outlineLevel="0" collapsed="false">
      <c r="A281" s="33"/>
      <c r="B281" s="34"/>
      <c r="C281" s="35"/>
      <c r="D281" s="35"/>
      <c r="E281" s="35"/>
      <c r="F281" s="36"/>
      <c r="G281" s="37" t="str">
        <f aca="false">IF(F281="","",F281/Parámetros!$C$8)</f>
        <v/>
      </c>
    </row>
    <row r="282" customFormat="false" ht="15" hidden="false" customHeight="false" outlineLevel="0" collapsed="false">
      <c r="A282" s="33"/>
      <c r="B282" s="34"/>
      <c r="C282" s="35"/>
      <c r="D282" s="35"/>
      <c r="E282" s="35"/>
      <c r="F282" s="36"/>
      <c r="G282" s="37" t="str">
        <f aca="false">IF(F282="","",F282/Parámetros!$C$8)</f>
        <v/>
      </c>
    </row>
    <row r="283" customFormat="false" ht="15" hidden="false" customHeight="false" outlineLevel="0" collapsed="false">
      <c r="A283" s="33"/>
      <c r="B283" s="34"/>
      <c r="C283" s="35"/>
      <c r="D283" s="35"/>
      <c r="E283" s="35"/>
      <c r="F283" s="36"/>
      <c r="G283" s="37" t="str">
        <f aca="false">IF(F283="","",F283/Parámetros!$C$8)</f>
        <v/>
      </c>
    </row>
    <row r="284" customFormat="false" ht="15" hidden="false" customHeight="false" outlineLevel="0" collapsed="false">
      <c r="A284" s="33"/>
      <c r="B284" s="34"/>
      <c r="C284" s="35"/>
      <c r="D284" s="35"/>
      <c r="E284" s="35"/>
      <c r="F284" s="36"/>
      <c r="G284" s="37" t="str">
        <f aca="false">IF(F284="","",F284/Parámetros!$C$8)</f>
        <v/>
      </c>
    </row>
    <row r="285" customFormat="false" ht="15" hidden="false" customHeight="false" outlineLevel="0" collapsed="false">
      <c r="A285" s="33"/>
      <c r="B285" s="34"/>
      <c r="C285" s="35"/>
      <c r="D285" s="35"/>
      <c r="E285" s="35"/>
      <c r="F285" s="36"/>
      <c r="G285" s="37" t="str">
        <f aca="false">IF(F285="","",F285/Parámetros!$C$8)</f>
        <v/>
      </c>
    </row>
    <row r="286" customFormat="false" ht="15" hidden="false" customHeight="false" outlineLevel="0" collapsed="false">
      <c r="A286" s="33"/>
      <c r="B286" s="34"/>
      <c r="C286" s="35"/>
      <c r="D286" s="35"/>
      <c r="E286" s="35"/>
      <c r="F286" s="36"/>
      <c r="G286" s="37" t="str">
        <f aca="false">IF(F286="","",F286/Parámetros!$C$8)</f>
        <v/>
      </c>
    </row>
    <row r="287" customFormat="false" ht="15" hidden="false" customHeight="false" outlineLevel="0" collapsed="false">
      <c r="A287" s="33"/>
      <c r="B287" s="34"/>
      <c r="C287" s="35"/>
      <c r="D287" s="35"/>
      <c r="E287" s="35"/>
      <c r="F287" s="36"/>
      <c r="G287" s="37" t="str">
        <f aca="false">IF(F287="","",F287/Parámetros!$C$8)</f>
        <v/>
      </c>
    </row>
    <row r="288" customFormat="false" ht="15" hidden="false" customHeight="false" outlineLevel="0" collapsed="false">
      <c r="A288" s="33"/>
      <c r="B288" s="34"/>
      <c r="C288" s="35"/>
      <c r="D288" s="35"/>
      <c r="E288" s="35"/>
      <c r="F288" s="36"/>
      <c r="G288" s="37" t="str">
        <f aca="false">IF(F288="","",F288/Parámetros!$C$8)</f>
        <v/>
      </c>
    </row>
    <row r="289" customFormat="false" ht="15" hidden="false" customHeight="false" outlineLevel="0" collapsed="false">
      <c r="A289" s="33"/>
      <c r="B289" s="34"/>
      <c r="C289" s="35"/>
      <c r="D289" s="35"/>
      <c r="E289" s="35"/>
      <c r="F289" s="36"/>
      <c r="G289" s="37" t="str">
        <f aca="false">IF(F289="","",F289/Parámetros!$C$8)</f>
        <v/>
      </c>
    </row>
    <row r="290" customFormat="false" ht="15" hidden="false" customHeight="false" outlineLevel="0" collapsed="false">
      <c r="A290" s="33"/>
      <c r="B290" s="34"/>
      <c r="C290" s="35"/>
      <c r="D290" s="35"/>
      <c r="E290" s="35"/>
      <c r="F290" s="36"/>
      <c r="G290" s="37" t="str">
        <f aca="false">IF(F290="","",F290/Parámetros!$C$8)</f>
        <v/>
      </c>
    </row>
    <row r="291" customFormat="false" ht="15" hidden="false" customHeight="false" outlineLevel="0" collapsed="false">
      <c r="A291" s="33"/>
      <c r="B291" s="34"/>
      <c r="C291" s="35"/>
      <c r="D291" s="35"/>
      <c r="E291" s="35"/>
      <c r="F291" s="36"/>
      <c r="G291" s="37" t="str">
        <f aca="false">IF(F291="","",F291/Parámetros!$C$8)</f>
        <v/>
      </c>
    </row>
    <row r="292" customFormat="false" ht="15" hidden="false" customHeight="false" outlineLevel="0" collapsed="false">
      <c r="A292" s="33"/>
      <c r="B292" s="34"/>
      <c r="C292" s="35"/>
      <c r="D292" s="35"/>
      <c r="E292" s="35"/>
      <c r="F292" s="36"/>
      <c r="G292" s="37" t="str">
        <f aca="false">IF(F292="","",F292/Parámetros!$C$8)</f>
        <v/>
      </c>
    </row>
    <row r="293" customFormat="false" ht="15" hidden="false" customHeight="false" outlineLevel="0" collapsed="false">
      <c r="A293" s="33"/>
      <c r="B293" s="34"/>
      <c r="C293" s="35"/>
      <c r="D293" s="35"/>
      <c r="E293" s="35"/>
      <c r="F293" s="36"/>
      <c r="G293" s="37" t="str">
        <f aca="false">IF(F293="","",F293/Parámetros!$C$8)</f>
        <v/>
      </c>
    </row>
    <row r="294" customFormat="false" ht="15" hidden="false" customHeight="false" outlineLevel="0" collapsed="false">
      <c r="A294" s="33"/>
      <c r="B294" s="34"/>
      <c r="C294" s="35"/>
      <c r="D294" s="35"/>
      <c r="E294" s="35"/>
      <c r="F294" s="36"/>
      <c r="G294" s="37" t="str">
        <f aca="false">IF(F294="","",F294/Parámetros!$C$8)</f>
        <v/>
      </c>
    </row>
    <row r="295" customFormat="false" ht="15" hidden="false" customHeight="false" outlineLevel="0" collapsed="false">
      <c r="A295" s="33"/>
      <c r="B295" s="34"/>
      <c r="C295" s="35"/>
      <c r="D295" s="35"/>
      <c r="E295" s="35"/>
      <c r="F295" s="36"/>
      <c r="G295" s="37" t="str">
        <f aca="false">IF(F295="","",F295/Parámetros!$C$8)</f>
        <v/>
      </c>
    </row>
    <row r="296" customFormat="false" ht="15" hidden="false" customHeight="false" outlineLevel="0" collapsed="false">
      <c r="A296" s="33"/>
      <c r="B296" s="34"/>
      <c r="C296" s="35"/>
      <c r="D296" s="35"/>
      <c r="E296" s="35"/>
      <c r="F296" s="36"/>
      <c r="G296" s="37" t="str">
        <f aca="false">IF(F296="","",F296/Parámetros!$C$8)</f>
        <v/>
      </c>
    </row>
    <row r="297" customFormat="false" ht="15" hidden="false" customHeight="false" outlineLevel="0" collapsed="false">
      <c r="A297" s="33"/>
      <c r="B297" s="34"/>
      <c r="C297" s="35"/>
      <c r="D297" s="35"/>
      <c r="E297" s="35"/>
      <c r="F297" s="36"/>
      <c r="G297" s="37" t="str">
        <f aca="false">IF(F297="","",F297/Parámetros!$C$8)</f>
        <v/>
      </c>
    </row>
    <row r="298" customFormat="false" ht="15" hidden="false" customHeight="false" outlineLevel="0" collapsed="false">
      <c r="A298" s="33"/>
      <c r="B298" s="34"/>
      <c r="C298" s="35"/>
      <c r="D298" s="35"/>
      <c r="E298" s="35"/>
      <c r="F298" s="36"/>
      <c r="G298" s="37" t="str">
        <f aca="false">IF(F298="","",F298/Parámetros!$C$8)</f>
        <v/>
      </c>
    </row>
    <row r="299" customFormat="false" ht="15" hidden="false" customHeight="false" outlineLevel="0" collapsed="false">
      <c r="A299" s="33"/>
      <c r="B299" s="34"/>
      <c r="C299" s="35"/>
      <c r="D299" s="35"/>
      <c r="E299" s="35"/>
      <c r="F299" s="36"/>
      <c r="G299" s="37" t="str">
        <f aca="false">IF(F299="","",F299/Parámetros!$C$8)</f>
        <v/>
      </c>
    </row>
    <row r="300" customFormat="false" ht="15" hidden="false" customHeight="false" outlineLevel="0" collapsed="false">
      <c r="A300" s="33"/>
      <c r="B300" s="34"/>
      <c r="C300" s="35"/>
      <c r="D300" s="35"/>
      <c r="E300" s="35"/>
      <c r="F300" s="36"/>
      <c r="G300" s="37" t="str">
        <f aca="false">IF(F300="","",F300/Parámetros!$C$8)</f>
        <v/>
      </c>
    </row>
    <row r="301" customFormat="false" ht="15" hidden="false" customHeight="false" outlineLevel="0" collapsed="false">
      <c r="A301" s="33"/>
      <c r="B301" s="34"/>
      <c r="C301" s="35"/>
      <c r="D301" s="35"/>
      <c r="E301" s="35"/>
      <c r="F301" s="36"/>
      <c r="G301" s="37" t="str">
        <f aca="false">IF(F301="","",F301/Parámetros!$C$8)</f>
        <v/>
      </c>
    </row>
    <row r="302" customFormat="false" ht="15" hidden="false" customHeight="false" outlineLevel="0" collapsed="false">
      <c r="A302" s="33"/>
      <c r="B302" s="34"/>
      <c r="C302" s="35"/>
      <c r="D302" s="35"/>
      <c r="E302" s="35"/>
      <c r="F302" s="36"/>
      <c r="G302" s="37" t="str">
        <f aca="false">IF(F302="","",F302/Parámetros!$C$8)</f>
        <v/>
      </c>
    </row>
    <row r="303" customFormat="false" ht="15" hidden="false" customHeight="false" outlineLevel="0" collapsed="false">
      <c r="A303" s="33"/>
      <c r="B303" s="34"/>
      <c r="C303" s="35"/>
      <c r="D303" s="35"/>
      <c r="E303" s="35"/>
      <c r="F303" s="36"/>
      <c r="G303" s="37" t="str">
        <f aca="false">IF(F303="","",F303/Parámetros!$C$8)</f>
        <v/>
      </c>
    </row>
    <row r="304" customFormat="false" ht="15" hidden="false" customHeight="false" outlineLevel="0" collapsed="false">
      <c r="A304" s="33"/>
      <c r="B304" s="34"/>
      <c r="C304" s="35"/>
      <c r="D304" s="35"/>
      <c r="E304" s="35"/>
      <c r="F304" s="36"/>
      <c r="G304" s="37" t="str">
        <f aca="false">IF(F304="","",F304/Parámetros!$C$8)</f>
        <v/>
      </c>
    </row>
    <row r="305" customFormat="false" ht="15" hidden="false" customHeight="false" outlineLevel="0" collapsed="false">
      <c r="A305" s="33"/>
      <c r="B305" s="34"/>
      <c r="C305" s="35"/>
      <c r="D305" s="35"/>
      <c r="E305" s="35"/>
      <c r="F305" s="36"/>
      <c r="G305" s="37" t="str">
        <f aca="false">IF(F305="","",F305/Parámetros!$C$8)</f>
        <v/>
      </c>
    </row>
    <row r="306" customFormat="false" ht="15" hidden="false" customHeight="false" outlineLevel="0" collapsed="false">
      <c r="A306" s="33"/>
      <c r="B306" s="34"/>
      <c r="C306" s="35"/>
      <c r="D306" s="35"/>
      <c r="E306" s="35"/>
      <c r="F306" s="36"/>
      <c r="G306" s="37" t="str">
        <f aca="false">IF(F306="","",F306/Parámetros!$C$8)</f>
        <v/>
      </c>
    </row>
    <row r="307" customFormat="false" ht="15" hidden="false" customHeight="false" outlineLevel="0" collapsed="false">
      <c r="A307" s="33"/>
      <c r="B307" s="34"/>
      <c r="C307" s="35"/>
      <c r="D307" s="35"/>
      <c r="E307" s="35"/>
      <c r="F307" s="36"/>
      <c r="G307" s="37" t="str">
        <f aca="false">IF(F307="","",F307/Parámetros!$C$8)</f>
        <v/>
      </c>
    </row>
    <row r="308" customFormat="false" ht="15" hidden="false" customHeight="false" outlineLevel="0" collapsed="false">
      <c r="A308" s="33"/>
      <c r="B308" s="34"/>
      <c r="C308" s="35"/>
      <c r="D308" s="35"/>
      <c r="E308" s="35"/>
      <c r="F308" s="36"/>
      <c r="G308" s="37" t="str">
        <f aca="false">IF(F308="","",F308/Parámetros!$C$8)</f>
        <v/>
      </c>
    </row>
    <row r="309" customFormat="false" ht="15" hidden="false" customHeight="false" outlineLevel="0" collapsed="false">
      <c r="A309" s="33"/>
      <c r="B309" s="34"/>
      <c r="C309" s="35"/>
      <c r="D309" s="35"/>
      <c r="E309" s="35"/>
      <c r="F309" s="36"/>
      <c r="G309" s="37" t="str">
        <f aca="false">IF(F309="","",F309/Parámetros!$C$8)</f>
        <v/>
      </c>
    </row>
    <row r="310" customFormat="false" ht="15" hidden="false" customHeight="false" outlineLevel="0" collapsed="false">
      <c r="A310" s="33"/>
      <c r="B310" s="34"/>
      <c r="C310" s="35"/>
      <c r="D310" s="35"/>
      <c r="E310" s="35"/>
      <c r="F310" s="36"/>
      <c r="G310" s="37" t="str">
        <f aca="false">IF(F310="","",F310/Parámetros!$C$8)</f>
        <v/>
      </c>
    </row>
    <row r="311" customFormat="false" ht="15" hidden="false" customHeight="false" outlineLevel="0" collapsed="false">
      <c r="A311" s="33"/>
      <c r="B311" s="34"/>
      <c r="C311" s="35"/>
      <c r="D311" s="35"/>
      <c r="E311" s="35"/>
      <c r="F311" s="36"/>
      <c r="G311" s="37" t="str">
        <f aca="false">IF(F311="","",F311/Parámetros!$C$8)</f>
        <v/>
      </c>
    </row>
    <row r="312" customFormat="false" ht="15" hidden="false" customHeight="false" outlineLevel="0" collapsed="false">
      <c r="A312" s="33"/>
      <c r="B312" s="34"/>
      <c r="C312" s="35"/>
      <c r="D312" s="35"/>
      <c r="E312" s="35"/>
      <c r="F312" s="36"/>
      <c r="G312" s="37" t="str">
        <f aca="false">IF(F312="","",F312/Parámetros!$C$8)</f>
        <v/>
      </c>
    </row>
    <row r="313" customFormat="false" ht="15" hidden="false" customHeight="false" outlineLevel="0" collapsed="false">
      <c r="A313" s="33"/>
      <c r="B313" s="34"/>
      <c r="C313" s="35"/>
      <c r="D313" s="35"/>
      <c r="E313" s="35"/>
      <c r="F313" s="36"/>
      <c r="G313" s="37" t="str">
        <f aca="false">IF(F313="","",F313/Parámetros!$C$8)</f>
        <v/>
      </c>
    </row>
    <row r="314" customFormat="false" ht="15" hidden="false" customHeight="false" outlineLevel="0" collapsed="false">
      <c r="A314" s="33"/>
      <c r="B314" s="34"/>
      <c r="C314" s="35"/>
      <c r="D314" s="35"/>
      <c r="E314" s="35"/>
      <c r="F314" s="36"/>
      <c r="G314" s="37" t="str">
        <f aca="false">IF(F314="","",F314/Parámetros!$C$8)</f>
        <v/>
      </c>
    </row>
    <row r="315" customFormat="false" ht="15" hidden="false" customHeight="false" outlineLevel="0" collapsed="false">
      <c r="A315" s="33"/>
      <c r="B315" s="34"/>
      <c r="C315" s="35"/>
      <c r="D315" s="35"/>
      <c r="E315" s="35"/>
      <c r="F315" s="36"/>
      <c r="G315" s="37" t="str">
        <f aca="false">IF(F315="","",F315/Parámetros!$C$8)</f>
        <v/>
      </c>
    </row>
    <row r="316" customFormat="false" ht="15" hidden="false" customHeight="false" outlineLevel="0" collapsed="false">
      <c r="A316" s="33"/>
      <c r="B316" s="34"/>
      <c r="C316" s="35"/>
      <c r="D316" s="35"/>
      <c r="E316" s="35"/>
      <c r="F316" s="36"/>
      <c r="G316" s="37" t="str">
        <f aca="false">IF(F316="","",F316/Parámetros!$C$8)</f>
        <v/>
      </c>
    </row>
    <row r="317" customFormat="false" ht="15" hidden="false" customHeight="false" outlineLevel="0" collapsed="false">
      <c r="A317" s="33"/>
      <c r="B317" s="34"/>
      <c r="C317" s="35"/>
      <c r="D317" s="35"/>
      <c r="E317" s="35"/>
      <c r="F317" s="36"/>
      <c r="G317" s="37" t="str">
        <f aca="false">IF(F317="","",F317/Parámetros!$C$8)</f>
        <v/>
      </c>
    </row>
    <row r="318" customFormat="false" ht="15" hidden="false" customHeight="false" outlineLevel="0" collapsed="false">
      <c r="A318" s="33"/>
      <c r="B318" s="34"/>
      <c r="C318" s="35"/>
      <c r="D318" s="35"/>
      <c r="E318" s="35"/>
      <c r="F318" s="36"/>
      <c r="G318" s="37" t="str">
        <f aca="false">IF(F318="","",F318/Parámetros!$C$8)</f>
        <v/>
      </c>
    </row>
    <row r="319" customFormat="false" ht="15" hidden="false" customHeight="false" outlineLevel="0" collapsed="false">
      <c r="A319" s="33"/>
      <c r="B319" s="34"/>
      <c r="C319" s="35"/>
      <c r="D319" s="35"/>
      <c r="E319" s="35"/>
      <c r="F319" s="36"/>
      <c r="G319" s="37" t="str">
        <f aca="false">IF(F319="","",F319/Parámetros!$C$8)</f>
        <v/>
      </c>
    </row>
    <row r="320" customFormat="false" ht="15" hidden="false" customHeight="false" outlineLevel="0" collapsed="false">
      <c r="A320" s="33"/>
      <c r="B320" s="34"/>
      <c r="C320" s="35"/>
      <c r="D320" s="35"/>
      <c r="E320" s="35"/>
      <c r="F320" s="36"/>
      <c r="G320" s="37" t="str">
        <f aca="false">IF(F320="","",F320/Parámetros!$C$8)</f>
        <v/>
      </c>
    </row>
    <row r="321" customFormat="false" ht="15" hidden="false" customHeight="false" outlineLevel="0" collapsed="false">
      <c r="A321" s="33"/>
      <c r="B321" s="34"/>
      <c r="C321" s="35"/>
      <c r="D321" s="35"/>
      <c r="E321" s="35"/>
      <c r="F321" s="36"/>
      <c r="G321" s="37" t="str">
        <f aca="false">IF(F321="","",F321/Parámetros!$C$8)</f>
        <v/>
      </c>
    </row>
    <row r="322" customFormat="false" ht="15" hidden="false" customHeight="false" outlineLevel="0" collapsed="false">
      <c r="A322" s="33"/>
      <c r="B322" s="34"/>
      <c r="C322" s="35"/>
      <c r="D322" s="35"/>
      <c r="E322" s="35"/>
      <c r="F322" s="36"/>
      <c r="G322" s="37" t="str">
        <f aca="false">IF(F322="","",F322/Parámetros!$C$8)</f>
        <v/>
      </c>
    </row>
    <row r="323" customFormat="false" ht="15" hidden="false" customHeight="false" outlineLevel="0" collapsed="false">
      <c r="A323" s="33"/>
      <c r="B323" s="34"/>
      <c r="C323" s="35"/>
      <c r="D323" s="35"/>
      <c r="E323" s="35"/>
      <c r="F323" s="36"/>
      <c r="G323" s="37" t="str">
        <f aca="false">IF(F323="","",F323/Parámetros!$C$8)</f>
        <v/>
      </c>
    </row>
    <row r="324" customFormat="false" ht="15" hidden="false" customHeight="false" outlineLevel="0" collapsed="false">
      <c r="A324" s="33"/>
      <c r="B324" s="34"/>
      <c r="C324" s="35"/>
      <c r="D324" s="35"/>
      <c r="E324" s="35"/>
      <c r="F324" s="36"/>
      <c r="G324" s="37" t="str">
        <f aca="false">IF(F324="","",F324/Parámetros!$C$8)</f>
        <v/>
      </c>
    </row>
    <row r="325" customFormat="false" ht="15" hidden="false" customHeight="false" outlineLevel="0" collapsed="false">
      <c r="A325" s="33"/>
      <c r="B325" s="34"/>
      <c r="C325" s="35"/>
      <c r="D325" s="35"/>
      <c r="E325" s="35"/>
      <c r="F325" s="36"/>
      <c r="G325" s="37" t="str">
        <f aca="false">IF(F325="","",F325/Parámetros!$C$8)</f>
        <v/>
      </c>
    </row>
    <row r="326" customFormat="false" ht="15" hidden="false" customHeight="false" outlineLevel="0" collapsed="false">
      <c r="A326" s="33"/>
      <c r="B326" s="34"/>
      <c r="C326" s="35"/>
      <c r="D326" s="35"/>
      <c r="E326" s="35"/>
      <c r="F326" s="36"/>
      <c r="G326" s="37" t="str">
        <f aca="false">IF(F326="","",F326/Parámetros!$C$8)</f>
        <v/>
      </c>
    </row>
    <row r="327" customFormat="false" ht="15" hidden="false" customHeight="false" outlineLevel="0" collapsed="false">
      <c r="A327" s="33"/>
      <c r="B327" s="34"/>
      <c r="C327" s="35"/>
      <c r="D327" s="35"/>
      <c r="E327" s="35"/>
      <c r="F327" s="36"/>
      <c r="G327" s="37" t="str">
        <f aca="false">IF(F327="","",F327/Parámetros!$C$8)</f>
        <v/>
      </c>
    </row>
    <row r="328" customFormat="false" ht="15" hidden="false" customHeight="false" outlineLevel="0" collapsed="false">
      <c r="A328" s="33"/>
      <c r="B328" s="34"/>
      <c r="C328" s="35"/>
      <c r="D328" s="35"/>
      <c r="E328" s="35"/>
      <c r="F328" s="36"/>
      <c r="G328" s="37" t="str">
        <f aca="false">IF(F328="","",F328/Parámetros!$C$8)</f>
        <v/>
      </c>
    </row>
    <row r="329" customFormat="false" ht="15" hidden="false" customHeight="false" outlineLevel="0" collapsed="false">
      <c r="A329" s="33"/>
      <c r="B329" s="34"/>
      <c r="C329" s="35"/>
      <c r="D329" s="35"/>
      <c r="E329" s="35"/>
      <c r="F329" s="36"/>
      <c r="G329" s="37" t="str">
        <f aca="false">IF(F329="","",F329/Parámetros!$C$8)</f>
        <v/>
      </c>
    </row>
    <row r="330" customFormat="false" ht="15" hidden="false" customHeight="false" outlineLevel="0" collapsed="false">
      <c r="A330" s="33"/>
      <c r="B330" s="34"/>
      <c r="C330" s="35"/>
      <c r="D330" s="35"/>
      <c r="E330" s="35"/>
      <c r="F330" s="36"/>
      <c r="G330" s="37" t="str">
        <f aca="false">IF(F330="","",F330/Parámetros!$C$8)</f>
        <v/>
      </c>
    </row>
    <row r="331" customFormat="false" ht="15" hidden="false" customHeight="false" outlineLevel="0" collapsed="false">
      <c r="A331" s="33"/>
      <c r="B331" s="34"/>
      <c r="C331" s="35"/>
      <c r="D331" s="35"/>
      <c r="E331" s="35"/>
      <c r="F331" s="36"/>
      <c r="G331" s="37" t="str">
        <f aca="false">IF(F331="","",F331/Parámetros!$C$8)</f>
        <v/>
      </c>
    </row>
    <row r="332" customFormat="false" ht="15" hidden="false" customHeight="false" outlineLevel="0" collapsed="false">
      <c r="A332" s="33"/>
      <c r="B332" s="34"/>
      <c r="C332" s="35"/>
      <c r="D332" s="35"/>
      <c r="E332" s="35"/>
      <c r="F332" s="36"/>
      <c r="G332" s="37" t="str">
        <f aca="false">IF(F332="","",F332/Parámetros!$C$8)</f>
        <v/>
      </c>
    </row>
    <row r="333" customFormat="false" ht="15" hidden="false" customHeight="false" outlineLevel="0" collapsed="false">
      <c r="A333" s="33"/>
      <c r="B333" s="34"/>
      <c r="C333" s="35"/>
      <c r="D333" s="35"/>
      <c r="E333" s="35"/>
      <c r="F333" s="36"/>
      <c r="G333" s="37" t="str">
        <f aca="false">IF(F333="","",F333/Parámetros!$C$8)</f>
        <v/>
      </c>
    </row>
    <row r="334" customFormat="false" ht="15" hidden="false" customHeight="false" outlineLevel="0" collapsed="false">
      <c r="A334" s="33"/>
      <c r="B334" s="34"/>
      <c r="C334" s="35"/>
      <c r="D334" s="35"/>
      <c r="E334" s="35"/>
      <c r="F334" s="36"/>
      <c r="G334" s="37" t="str">
        <f aca="false">IF(F334="","",F334/Parámetros!$C$8)</f>
        <v/>
      </c>
    </row>
    <row r="335" customFormat="false" ht="15" hidden="false" customHeight="false" outlineLevel="0" collapsed="false">
      <c r="A335" s="33"/>
      <c r="B335" s="34"/>
      <c r="C335" s="35"/>
      <c r="D335" s="35"/>
      <c r="E335" s="35"/>
      <c r="F335" s="36"/>
      <c r="G335" s="37" t="str">
        <f aca="false">IF(F335="","",F335/Parámetros!$C$8)</f>
        <v/>
      </c>
    </row>
    <row r="336" customFormat="false" ht="15" hidden="false" customHeight="false" outlineLevel="0" collapsed="false">
      <c r="A336" s="33"/>
      <c r="B336" s="34"/>
      <c r="C336" s="35"/>
      <c r="D336" s="35"/>
      <c r="E336" s="35"/>
      <c r="F336" s="36"/>
      <c r="G336" s="37" t="str">
        <f aca="false">IF(F336="","",F336/Parámetros!$C$8)</f>
        <v/>
      </c>
    </row>
    <row r="337" customFormat="false" ht="15" hidden="false" customHeight="false" outlineLevel="0" collapsed="false">
      <c r="A337" s="33"/>
      <c r="B337" s="34"/>
      <c r="C337" s="35"/>
      <c r="D337" s="35"/>
      <c r="E337" s="35"/>
      <c r="F337" s="36"/>
      <c r="G337" s="37" t="str">
        <f aca="false">IF(F337="","",F337/Parámetros!$C$8)</f>
        <v/>
      </c>
    </row>
    <row r="338" customFormat="false" ht="15" hidden="false" customHeight="false" outlineLevel="0" collapsed="false">
      <c r="A338" s="33"/>
      <c r="B338" s="34"/>
      <c r="C338" s="35"/>
      <c r="D338" s="35"/>
      <c r="E338" s="35"/>
      <c r="F338" s="36"/>
      <c r="G338" s="37" t="str">
        <f aca="false">IF(F338="","",F338/Parámetros!$C$8)</f>
        <v/>
      </c>
    </row>
    <row r="339" customFormat="false" ht="15" hidden="false" customHeight="false" outlineLevel="0" collapsed="false">
      <c r="A339" s="33"/>
      <c r="B339" s="34"/>
      <c r="C339" s="35"/>
      <c r="D339" s="35"/>
      <c r="E339" s="35"/>
      <c r="F339" s="36"/>
      <c r="G339" s="37" t="str">
        <f aca="false">IF(F339="","",F339/Parámetros!$C$8)</f>
        <v/>
      </c>
    </row>
    <row r="340" customFormat="false" ht="15" hidden="false" customHeight="false" outlineLevel="0" collapsed="false">
      <c r="A340" s="33"/>
      <c r="B340" s="34"/>
      <c r="C340" s="35"/>
      <c r="D340" s="35"/>
      <c r="E340" s="35"/>
      <c r="F340" s="36"/>
      <c r="G340" s="37" t="str">
        <f aca="false">IF(F340="","",F340/Parámetros!$C$8)</f>
        <v/>
      </c>
    </row>
    <row r="341" customFormat="false" ht="15" hidden="false" customHeight="false" outlineLevel="0" collapsed="false">
      <c r="A341" s="33"/>
      <c r="B341" s="34"/>
      <c r="C341" s="35"/>
      <c r="D341" s="35"/>
      <c r="E341" s="35"/>
      <c r="F341" s="36"/>
      <c r="G341" s="37" t="str">
        <f aca="false">IF(F341="","",F341/Parámetros!$C$8)</f>
        <v/>
      </c>
    </row>
    <row r="342" customFormat="false" ht="15" hidden="false" customHeight="false" outlineLevel="0" collapsed="false">
      <c r="A342" s="33"/>
      <c r="B342" s="34"/>
      <c r="C342" s="35"/>
      <c r="D342" s="35"/>
      <c r="E342" s="35"/>
      <c r="F342" s="36"/>
      <c r="G342" s="37" t="str">
        <f aca="false">IF(F342="","",F342/Parámetros!$C$8)</f>
        <v/>
      </c>
    </row>
    <row r="343" customFormat="false" ht="15" hidden="false" customHeight="false" outlineLevel="0" collapsed="false">
      <c r="A343" s="33"/>
      <c r="B343" s="34"/>
      <c r="C343" s="35"/>
      <c r="D343" s="35"/>
      <c r="E343" s="35"/>
      <c r="F343" s="36"/>
      <c r="G343" s="37" t="str">
        <f aca="false">IF(F343="","",F343/Parámetros!$C$8)</f>
        <v/>
      </c>
    </row>
    <row r="344" customFormat="false" ht="15" hidden="false" customHeight="false" outlineLevel="0" collapsed="false">
      <c r="A344" s="33"/>
      <c r="B344" s="34"/>
      <c r="C344" s="35"/>
      <c r="D344" s="35"/>
      <c r="E344" s="35"/>
      <c r="F344" s="36"/>
      <c r="G344" s="37" t="str">
        <f aca="false">IF(F344="","",F344/Parámetros!$C$8)</f>
        <v/>
      </c>
    </row>
    <row r="345" customFormat="false" ht="15" hidden="false" customHeight="false" outlineLevel="0" collapsed="false">
      <c r="A345" s="33"/>
      <c r="B345" s="34"/>
      <c r="C345" s="35"/>
      <c r="D345" s="35"/>
      <c r="E345" s="35"/>
      <c r="F345" s="36"/>
      <c r="G345" s="37" t="str">
        <f aca="false">IF(F345="","",F345/Parámetros!$C$8)</f>
        <v/>
      </c>
    </row>
    <row r="346" customFormat="false" ht="15" hidden="false" customHeight="false" outlineLevel="0" collapsed="false">
      <c r="A346" s="33"/>
      <c r="B346" s="34"/>
      <c r="C346" s="35"/>
      <c r="D346" s="35"/>
      <c r="E346" s="35"/>
      <c r="F346" s="36"/>
      <c r="G346" s="37" t="str">
        <f aca="false">IF(F346="","",F346/Parámetros!$C$8)</f>
        <v/>
      </c>
    </row>
    <row r="347" customFormat="false" ht="15" hidden="false" customHeight="false" outlineLevel="0" collapsed="false">
      <c r="A347" s="33"/>
      <c r="B347" s="34"/>
      <c r="C347" s="35"/>
      <c r="D347" s="35"/>
      <c r="E347" s="35"/>
      <c r="F347" s="36"/>
      <c r="G347" s="37" t="str">
        <f aca="false">IF(F347="","",F347/Parámetros!$C$8)</f>
        <v/>
      </c>
    </row>
    <row r="348" customFormat="false" ht="15" hidden="false" customHeight="false" outlineLevel="0" collapsed="false">
      <c r="A348" s="33"/>
      <c r="B348" s="34"/>
      <c r="C348" s="35"/>
      <c r="D348" s="35"/>
      <c r="E348" s="35"/>
      <c r="F348" s="36"/>
      <c r="G348" s="37" t="str">
        <f aca="false">IF(F348="","",F348/Parámetros!$C$8)</f>
        <v/>
      </c>
    </row>
    <row r="349" customFormat="false" ht="15" hidden="false" customHeight="false" outlineLevel="0" collapsed="false">
      <c r="A349" s="33"/>
      <c r="B349" s="34"/>
      <c r="C349" s="35"/>
      <c r="D349" s="35"/>
      <c r="E349" s="35"/>
      <c r="F349" s="36"/>
      <c r="G349" s="37" t="str">
        <f aca="false">IF(F349="","",F349/Parámetros!$C$8)</f>
        <v/>
      </c>
    </row>
    <row r="350" customFormat="false" ht="15" hidden="false" customHeight="false" outlineLevel="0" collapsed="false">
      <c r="A350" s="33"/>
      <c r="B350" s="34"/>
      <c r="C350" s="35"/>
      <c r="D350" s="35"/>
      <c r="E350" s="35"/>
      <c r="F350" s="36"/>
      <c r="G350" s="37" t="str">
        <f aca="false">IF(F350="","",F350/Parámetros!$C$8)</f>
        <v/>
      </c>
    </row>
    <row r="351" customFormat="false" ht="15" hidden="false" customHeight="false" outlineLevel="0" collapsed="false">
      <c r="A351" s="33"/>
      <c r="B351" s="34"/>
      <c r="C351" s="35"/>
      <c r="D351" s="35"/>
      <c r="E351" s="35"/>
      <c r="F351" s="36"/>
      <c r="G351" s="37" t="str">
        <f aca="false">IF(F351="","",F351/Parámetros!$C$8)</f>
        <v/>
      </c>
    </row>
    <row r="352" customFormat="false" ht="15" hidden="false" customHeight="false" outlineLevel="0" collapsed="false">
      <c r="A352" s="33"/>
      <c r="B352" s="34"/>
      <c r="C352" s="35"/>
      <c r="D352" s="35"/>
      <c r="E352" s="35"/>
      <c r="F352" s="36"/>
      <c r="G352" s="37" t="str">
        <f aca="false">IF(F352="","",F352/Parámetros!$C$8)</f>
        <v/>
      </c>
    </row>
    <row r="353" customFormat="false" ht="15" hidden="false" customHeight="false" outlineLevel="0" collapsed="false">
      <c r="A353" s="33"/>
      <c r="B353" s="34"/>
      <c r="C353" s="35"/>
      <c r="D353" s="35"/>
      <c r="E353" s="35"/>
      <c r="F353" s="36"/>
      <c r="G353" s="37" t="str">
        <f aca="false">IF(F353="","",F353/Parámetros!$C$8)</f>
        <v/>
      </c>
    </row>
    <row r="354" customFormat="false" ht="15" hidden="false" customHeight="false" outlineLevel="0" collapsed="false">
      <c r="A354" s="33"/>
      <c r="B354" s="34"/>
      <c r="C354" s="35"/>
      <c r="D354" s="35"/>
      <c r="E354" s="35"/>
      <c r="F354" s="36"/>
      <c r="G354" s="37" t="str">
        <f aca="false">IF(F354="","",F354/Parámetros!$C$8)</f>
        <v/>
      </c>
    </row>
    <row r="355" customFormat="false" ht="15" hidden="false" customHeight="false" outlineLevel="0" collapsed="false">
      <c r="A355" s="33"/>
      <c r="B355" s="34"/>
      <c r="C355" s="35"/>
      <c r="D355" s="35"/>
      <c r="E355" s="35"/>
      <c r="F355" s="36"/>
      <c r="G355" s="37" t="str">
        <f aca="false">IF(F355="","",F355/Parámetros!$C$8)</f>
        <v/>
      </c>
    </row>
    <row r="356" customFormat="false" ht="15" hidden="false" customHeight="false" outlineLevel="0" collapsed="false">
      <c r="A356" s="33"/>
      <c r="B356" s="34"/>
      <c r="C356" s="35"/>
      <c r="D356" s="35"/>
      <c r="E356" s="35"/>
      <c r="F356" s="36"/>
      <c r="G356" s="37" t="str">
        <f aca="false">IF(F356="","",F356/Parámetros!$C$8)</f>
        <v/>
      </c>
    </row>
    <row r="357" customFormat="false" ht="15" hidden="false" customHeight="false" outlineLevel="0" collapsed="false">
      <c r="A357" s="33"/>
      <c r="B357" s="34"/>
      <c r="C357" s="35"/>
      <c r="D357" s="35"/>
      <c r="E357" s="35"/>
      <c r="F357" s="36"/>
      <c r="G357" s="37" t="str">
        <f aca="false">IF(F357="","",F357/Parámetros!$C$8)</f>
        <v/>
      </c>
    </row>
    <row r="358" customFormat="false" ht="15" hidden="false" customHeight="false" outlineLevel="0" collapsed="false">
      <c r="A358" s="33"/>
      <c r="B358" s="34"/>
      <c r="C358" s="35"/>
      <c r="D358" s="35"/>
      <c r="E358" s="35"/>
      <c r="F358" s="36"/>
      <c r="G358" s="37" t="str">
        <f aca="false">IF(F358="","",F358/Parámetros!$C$8)</f>
        <v/>
      </c>
    </row>
    <row r="359" customFormat="false" ht="15" hidden="false" customHeight="false" outlineLevel="0" collapsed="false">
      <c r="A359" s="33"/>
      <c r="B359" s="34"/>
      <c r="C359" s="35"/>
      <c r="D359" s="35"/>
      <c r="E359" s="35"/>
      <c r="F359" s="36"/>
      <c r="G359" s="37" t="str">
        <f aca="false">IF(F359="","",F359/Parámetros!$C$8)</f>
        <v/>
      </c>
    </row>
    <row r="360" customFormat="false" ht="15" hidden="false" customHeight="false" outlineLevel="0" collapsed="false">
      <c r="A360" s="33"/>
      <c r="B360" s="34"/>
      <c r="C360" s="35"/>
      <c r="D360" s="35"/>
      <c r="E360" s="35"/>
      <c r="F360" s="36"/>
      <c r="G360" s="37" t="str">
        <f aca="false">IF(F360="","",F360/Parámetros!$C$8)</f>
        <v/>
      </c>
    </row>
    <row r="361" customFormat="false" ht="15" hidden="false" customHeight="false" outlineLevel="0" collapsed="false">
      <c r="A361" s="33"/>
      <c r="B361" s="34"/>
      <c r="C361" s="35"/>
      <c r="D361" s="35"/>
      <c r="E361" s="35"/>
      <c r="F361" s="36"/>
      <c r="G361" s="37" t="str">
        <f aca="false">IF(F361="","",F361/Parámetros!$C$8)</f>
        <v/>
      </c>
    </row>
    <row r="362" customFormat="false" ht="15" hidden="false" customHeight="false" outlineLevel="0" collapsed="false">
      <c r="A362" s="33"/>
      <c r="B362" s="34"/>
      <c r="C362" s="35"/>
      <c r="D362" s="35"/>
      <c r="E362" s="35"/>
      <c r="F362" s="36"/>
      <c r="G362" s="37" t="str">
        <f aca="false">IF(F362="","",F362/Parámetros!$C$8)</f>
        <v/>
      </c>
    </row>
    <row r="363" customFormat="false" ht="15" hidden="false" customHeight="false" outlineLevel="0" collapsed="false">
      <c r="A363" s="33"/>
      <c r="B363" s="34"/>
      <c r="C363" s="35"/>
      <c r="D363" s="35"/>
      <c r="E363" s="35"/>
      <c r="F363" s="36"/>
      <c r="G363" s="37" t="str">
        <f aca="false">IF(F363="","",F363/Parámetros!$C$8)</f>
        <v/>
      </c>
    </row>
    <row r="364" customFormat="false" ht="15" hidden="false" customHeight="false" outlineLevel="0" collapsed="false">
      <c r="A364" s="33"/>
      <c r="B364" s="34"/>
      <c r="C364" s="35"/>
      <c r="D364" s="35"/>
      <c r="E364" s="35"/>
      <c r="F364" s="36"/>
      <c r="G364" s="37" t="str">
        <f aca="false">IF(F364="","",F364/Parámetros!$C$8)</f>
        <v/>
      </c>
    </row>
    <row r="365" customFormat="false" ht="15" hidden="false" customHeight="false" outlineLevel="0" collapsed="false">
      <c r="A365" s="33"/>
      <c r="B365" s="34"/>
      <c r="C365" s="35"/>
      <c r="D365" s="35"/>
      <c r="E365" s="35"/>
      <c r="F365" s="36"/>
      <c r="G365" s="37" t="str">
        <f aca="false">IF(F365="","",F365/Parámetros!$C$8)</f>
        <v/>
      </c>
    </row>
    <row r="366" customFormat="false" ht="15" hidden="false" customHeight="false" outlineLevel="0" collapsed="false">
      <c r="A366" s="33"/>
      <c r="B366" s="34"/>
      <c r="C366" s="35"/>
      <c r="D366" s="35"/>
      <c r="E366" s="35"/>
      <c r="F366" s="36"/>
      <c r="G366" s="37" t="str">
        <f aca="false">IF(F366="","",F366/Parámetros!$C$8)</f>
        <v/>
      </c>
    </row>
    <row r="367" customFormat="false" ht="15" hidden="false" customHeight="false" outlineLevel="0" collapsed="false">
      <c r="A367" s="33"/>
      <c r="B367" s="34"/>
      <c r="C367" s="35"/>
      <c r="D367" s="35"/>
      <c r="E367" s="35"/>
      <c r="F367" s="36"/>
      <c r="G367" s="37" t="str">
        <f aca="false">IF(F367="","",F367/Parámetros!$C$8)</f>
        <v/>
      </c>
    </row>
    <row r="368" customFormat="false" ht="15" hidden="false" customHeight="false" outlineLevel="0" collapsed="false">
      <c r="A368" s="33"/>
      <c r="B368" s="34"/>
      <c r="C368" s="35"/>
      <c r="D368" s="35"/>
      <c r="E368" s="35"/>
      <c r="F368" s="36"/>
      <c r="G368" s="37" t="str">
        <f aca="false">IF(F368="","",F368/Parámetros!$C$8)</f>
        <v/>
      </c>
    </row>
    <row r="369" customFormat="false" ht="15" hidden="false" customHeight="false" outlineLevel="0" collapsed="false">
      <c r="A369" s="33"/>
      <c r="B369" s="34"/>
      <c r="C369" s="35"/>
      <c r="D369" s="35"/>
      <c r="E369" s="35"/>
      <c r="F369" s="36"/>
      <c r="G369" s="37" t="str">
        <f aca="false">IF(F369="","",F369/Parámetros!$C$8)</f>
        <v/>
      </c>
    </row>
    <row r="370" customFormat="false" ht="15" hidden="false" customHeight="false" outlineLevel="0" collapsed="false">
      <c r="A370" s="33"/>
      <c r="B370" s="34"/>
      <c r="C370" s="35"/>
      <c r="D370" s="35"/>
      <c r="E370" s="35"/>
      <c r="F370" s="36"/>
      <c r="G370" s="37" t="str">
        <f aca="false">IF(F370="","",F370/Parámetros!$C$8)</f>
        <v/>
      </c>
    </row>
    <row r="371" customFormat="false" ht="15" hidden="false" customHeight="false" outlineLevel="0" collapsed="false">
      <c r="A371" s="33"/>
      <c r="B371" s="34"/>
      <c r="C371" s="35"/>
      <c r="D371" s="35"/>
      <c r="E371" s="35"/>
      <c r="F371" s="36"/>
      <c r="G371" s="37" t="str">
        <f aca="false">IF(F371="","",F371/Parámetros!$C$8)</f>
        <v/>
      </c>
    </row>
    <row r="372" customFormat="false" ht="15" hidden="false" customHeight="false" outlineLevel="0" collapsed="false">
      <c r="A372" s="33"/>
      <c r="B372" s="34"/>
      <c r="C372" s="35"/>
      <c r="D372" s="35"/>
      <c r="E372" s="35"/>
      <c r="F372" s="36"/>
      <c r="G372" s="37" t="str">
        <f aca="false">IF(F372="","",F372/Parámetros!$C$8)</f>
        <v/>
      </c>
    </row>
    <row r="373" customFormat="false" ht="15" hidden="false" customHeight="false" outlineLevel="0" collapsed="false">
      <c r="A373" s="33"/>
      <c r="B373" s="34"/>
      <c r="C373" s="35"/>
      <c r="D373" s="35"/>
      <c r="E373" s="35"/>
      <c r="F373" s="36"/>
      <c r="G373" s="37" t="str">
        <f aca="false">IF(F373="","",F373/Parámetros!$C$8)</f>
        <v/>
      </c>
    </row>
    <row r="374" customFormat="false" ht="15" hidden="false" customHeight="false" outlineLevel="0" collapsed="false">
      <c r="A374" s="33"/>
      <c r="B374" s="34"/>
      <c r="C374" s="35"/>
      <c r="D374" s="35"/>
      <c r="E374" s="35"/>
      <c r="F374" s="36"/>
      <c r="G374" s="37" t="str">
        <f aca="false">IF(F374="","",F374/Parámetros!$C$8)</f>
        <v/>
      </c>
    </row>
    <row r="375" customFormat="false" ht="15" hidden="false" customHeight="false" outlineLevel="0" collapsed="false">
      <c r="A375" s="33"/>
      <c r="B375" s="34"/>
      <c r="C375" s="35"/>
      <c r="D375" s="35"/>
      <c r="E375" s="35"/>
      <c r="F375" s="36"/>
      <c r="G375" s="37" t="str">
        <f aca="false">IF(F375="","",F375/Parámetros!$C$8)</f>
        <v/>
      </c>
    </row>
    <row r="376" customFormat="false" ht="15" hidden="false" customHeight="false" outlineLevel="0" collapsed="false">
      <c r="A376" s="33"/>
      <c r="B376" s="34"/>
      <c r="C376" s="35"/>
      <c r="D376" s="35"/>
      <c r="E376" s="35"/>
      <c r="F376" s="36"/>
      <c r="G376" s="37" t="str">
        <f aca="false">IF(F376="","",F376/Parámetros!$C$8)</f>
        <v/>
      </c>
    </row>
    <row r="377" customFormat="false" ht="15" hidden="false" customHeight="false" outlineLevel="0" collapsed="false">
      <c r="A377" s="33"/>
      <c r="B377" s="34"/>
      <c r="C377" s="35"/>
      <c r="D377" s="35"/>
      <c r="E377" s="35"/>
      <c r="F377" s="36"/>
      <c r="G377" s="37" t="str">
        <f aca="false">IF(F377="","",F377/Parámetros!$C$8)</f>
        <v/>
      </c>
    </row>
    <row r="378" customFormat="false" ht="15" hidden="false" customHeight="false" outlineLevel="0" collapsed="false">
      <c r="A378" s="33"/>
      <c r="B378" s="34"/>
      <c r="C378" s="35"/>
      <c r="D378" s="35"/>
      <c r="E378" s="35"/>
      <c r="F378" s="36"/>
      <c r="G378" s="37" t="str">
        <f aca="false">IF(F378="","",F378/Parámetros!$C$8)</f>
        <v/>
      </c>
    </row>
    <row r="379" customFormat="false" ht="15" hidden="false" customHeight="false" outlineLevel="0" collapsed="false">
      <c r="A379" s="33"/>
      <c r="B379" s="34"/>
      <c r="C379" s="35"/>
      <c r="D379" s="35"/>
      <c r="E379" s="35"/>
      <c r="F379" s="36"/>
      <c r="G379" s="37" t="str">
        <f aca="false">IF(F379="","",F379/Parámetros!$C$8)</f>
        <v/>
      </c>
    </row>
    <row r="380" customFormat="false" ht="15" hidden="false" customHeight="false" outlineLevel="0" collapsed="false">
      <c r="A380" s="33"/>
      <c r="B380" s="34"/>
      <c r="C380" s="35"/>
      <c r="D380" s="35"/>
      <c r="E380" s="35"/>
      <c r="F380" s="36"/>
      <c r="G380" s="37" t="str">
        <f aca="false">IF(F380="","",F380/Parámetros!$C$8)</f>
        <v/>
      </c>
    </row>
    <row r="381" customFormat="false" ht="15" hidden="false" customHeight="false" outlineLevel="0" collapsed="false">
      <c r="A381" s="33"/>
      <c r="B381" s="34"/>
      <c r="C381" s="35"/>
      <c r="D381" s="35"/>
      <c r="E381" s="35"/>
      <c r="F381" s="36"/>
      <c r="G381" s="37" t="str">
        <f aca="false">IF(F381="","",F381/Parámetros!$C$8)</f>
        <v/>
      </c>
    </row>
    <row r="382" customFormat="false" ht="15" hidden="false" customHeight="false" outlineLevel="0" collapsed="false">
      <c r="A382" s="33"/>
      <c r="B382" s="34"/>
      <c r="C382" s="35"/>
      <c r="D382" s="35"/>
      <c r="E382" s="35"/>
      <c r="F382" s="36"/>
      <c r="G382" s="37" t="str">
        <f aca="false">IF(F382="","",F382/Parámetros!$C$8)</f>
        <v/>
      </c>
    </row>
    <row r="383" customFormat="false" ht="15" hidden="false" customHeight="false" outlineLevel="0" collapsed="false">
      <c r="A383" s="33"/>
      <c r="B383" s="34"/>
      <c r="C383" s="35"/>
      <c r="D383" s="35"/>
      <c r="E383" s="35"/>
      <c r="F383" s="36"/>
      <c r="G383" s="37" t="str">
        <f aca="false">IF(F383="","",F383/Parámetros!$C$8)</f>
        <v/>
      </c>
    </row>
    <row r="384" customFormat="false" ht="15" hidden="false" customHeight="false" outlineLevel="0" collapsed="false">
      <c r="A384" s="33"/>
      <c r="B384" s="34"/>
      <c r="C384" s="35"/>
      <c r="D384" s="35"/>
      <c r="E384" s="35"/>
      <c r="F384" s="36"/>
      <c r="G384" s="37" t="str">
        <f aca="false">IF(F384="","",F384/Parámetros!$C$8)</f>
        <v/>
      </c>
    </row>
    <row r="385" customFormat="false" ht="15" hidden="false" customHeight="false" outlineLevel="0" collapsed="false">
      <c r="A385" s="33"/>
      <c r="B385" s="34"/>
      <c r="C385" s="35"/>
      <c r="D385" s="35"/>
      <c r="E385" s="35"/>
      <c r="F385" s="36"/>
      <c r="G385" s="37" t="str">
        <f aca="false">IF(F385="","",F385/Parámetros!$C$8)</f>
        <v/>
      </c>
    </row>
    <row r="386" customFormat="false" ht="15" hidden="false" customHeight="false" outlineLevel="0" collapsed="false">
      <c r="A386" s="33"/>
      <c r="B386" s="34"/>
      <c r="C386" s="35"/>
      <c r="D386" s="35"/>
      <c r="E386" s="35"/>
      <c r="F386" s="36"/>
      <c r="G386" s="37" t="str">
        <f aca="false">IF(F386="","",F386/Parámetros!$C$8)</f>
        <v/>
      </c>
    </row>
    <row r="387" customFormat="false" ht="15" hidden="false" customHeight="false" outlineLevel="0" collapsed="false">
      <c r="A387" s="33"/>
      <c r="B387" s="34"/>
      <c r="C387" s="35"/>
      <c r="D387" s="35"/>
      <c r="E387" s="35"/>
      <c r="F387" s="36"/>
      <c r="G387" s="37" t="str">
        <f aca="false">IF(F387="","",F387/Parámetros!$C$8)</f>
        <v/>
      </c>
    </row>
    <row r="388" customFormat="false" ht="15" hidden="false" customHeight="false" outlineLevel="0" collapsed="false">
      <c r="A388" s="33"/>
      <c r="B388" s="34"/>
      <c r="C388" s="35"/>
      <c r="D388" s="35"/>
      <c r="E388" s="35"/>
      <c r="F388" s="36"/>
      <c r="G388" s="37" t="str">
        <f aca="false">IF(F388="","",F388/Parámetros!$C$8)</f>
        <v/>
      </c>
    </row>
    <row r="389" customFormat="false" ht="15" hidden="false" customHeight="false" outlineLevel="0" collapsed="false">
      <c r="A389" s="33"/>
      <c r="B389" s="34"/>
      <c r="C389" s="35"/>
      <c r="D389" s="35"/>
      <c r="E389" s="35"/>
      <c r="F389" s="36"/>
      <c r="G389" s="37" t="str">
        <f aca="false">IF(F389="","",F389/Parámetros!$C$8)</f>
        <v/>
      </c>
    </row>
    <row r="390" customFormat="false" ht="15" hidden="false" customHeight="false" outlineLevel="0" collapsed="false">
      <c r="A390" s="33"/>
      <c r="B390" s="34"/>
      <c r="C390" s="35"/>
      <c r="D390" s="35"/>
      <c r="E390" s="35"/>
      <c r="F390" s="36"/>
      <c r="G390" s="37" t="str">
        <f aca="false">IF(F390="","",F390/Parámetros!$C$8)</f>
        <v/>
      </c>
    </row>
    <row r="391" customFormat="false" ht="15" hidden="false" customHeight="false" outlineLevel="0" collapsed="false">
      <c r="A391" s="33"/>
      <c r="B391" s="34"/>
      <c r="C391" s="35"/>
      <c r="D391" s="35"/>
      <c r="E391" s="35"/>
      <c r="F391" s="36"/>
      <c r="G391" s="37" t="str">
        <f aca="false">IF(F391="","",F391/Parámetros!$C$8)</f>
        <v/>
      </c>
    </row>
    <row r="392" customFormat="false" ht="15" hidden="false" customHeight="false" outlineLevel="0" collapsed="false">
      <c r="A392" s="33"/>
      <c r="B392" s="34"/>
      <c r="C392" s="35"/>
      <c r="D392" s="35"/>
      <c r="E392" s="35"/>
      <c r="F392" s="36"/>
      <c r="G392" s="37" t="str">
        <f aca="false">IF(F392="","",F392/Parámetros!$C$8)</f>
        <v/>
      </c>
    </row>
    <row r="393" customFormat="false" ht="15" hidden="false" customHeight="false" outlineLevel="0" collapsed="false">
      <c r="A393" s="33"/>
      <c r="B393" s="34"/>
      <c r="C393" s="35"/>
      <c r="D393" s="35"/>
      <c r="E393" s="35"/>
      <c r="F393" s="36"/>
      <c r="G393" s="37" t="str">
        <f aca="false">IF(F393="","",F393/Parámetros!$C$8)</f>
        <v/>
      </c>
    </row>
    <row r="394" customFormat="false" ht="15" hidden="false" customHeight="false" outlineLevel="0" collapsed="false">
      <c r="A394" s="33"/>
      <c r="B394" s="34"/>
      <c r="C394" s="35"/>
      <c r="D394" s="35"/>
      <c r="E394" s="35"/>
      <c r="F394" s="36"/>
      <c r="G394" s="37" t="str">
        <f aca="false">IF(F394="","",F394/Parámetros!$C$8)</f>
        <v/>
      </c>
    </row>
    <row r="395" customFormat="false" ht="15" hidden="false" customHeight="false" outlineLevel="0" collapsed="false">
      <c r="A395" s="33"/>
      <c r="B395" s="34"/>
      <c r="C395" s="35"/>
      <c r="D395" s="35"/>
      <c r="E395" s="35"/>
      <c r="F395" s="36"/>
      <c r="G395" s="37" t="str">
        <f aca="false">IF(F395="","",F395/Parámetros!$C$8)</f>
        <v/>
      </c>
    </row>
    <row r="396" customFormat="false" ht="15" hidden="false" customHeight="false" outlineLevel="0" collapsed="false">
      <c r="A396" s="33"/>
      <c r="B396" s="34"/>
      <c r="C396" s="35"/>
      <c r="D396" s="35"/>
      <c r="E396" s="35"/>
      <c r="F396" s="36"/>
      <c r="G396" s="37" t="str">
        <f aca="false">IF(F396="","",F396/Parámetros!$C$8)</f>
        <v/>
      </c>
    </row>
    <row r="397" customFormat="false" ht="15" hidden="false" customHeight="false" outlineLevel="0" collapsed="false">
      <c r="A397" s="33"/>
      <c r="B397" s="34"/>
      <c r="C397" s="35"/>
      <c r="D397" s="35"/>
      <c r="E397" s="35"/>
      <c r="F397" s="36"/>
      <c r="G397" s="37" t="str">
        <f aca="false">IF(F397="","",F397/Parámetros!$C$8)</f>
        <v/>
      </c>
    </row>
    <row r="398" customFormat="false" ht="15" hidden="false" customHeight="false" outlineLevel="0" collapsed="false">
      <c r="A398" s="33"/>
      <c r="B398" s="34"/>
      <c r="C398" s="35"/>
      <c r="D398" s="35"/>
      <c r="E398" s="35"/>
      <c r="F398" s="36"/>
      <c r="G398" s="37" t="str">
        <f aca="false">IF(F398="","",F398/Parámetros!$C$8)</f>
        <v/>
      </c>
    </row>
    <row r="399" customFormat="false" ht="15" hidden="false" customHeight="false" outlineLevel="0" collapsed="false">
      <c r="A399" s="33"/>
      <c r="B399" s="34"/>
      <c r="C399" s="35"/>
      <c r="D399" s="35"/>
      <c r="E399" s="35"/>
      <c r="F399" s="36"/>
      <c r="G399" s="37" t="str">
        <f aca="false">IF(F399="","",F399/Parámetros!$C$8)</f>
        <v/>
      </c>
    </row>
    <row r="400" customFormat="false" ht="15" hidden="false" customHeight="false" outlineLevel="0" collapsed="false">
      <c r="A400" s="33"/>
      <c r="B400" s="34"/>
      <c r="C400" s="35"/>
      <c r="D400" s="35"/>
      <c r="E400" s="35"/>
      <c r="F400" s="36"/>
      <c r="G400" s="37" t="str">
        <f aca="false">IF(F400="","",F400/Parámetros!$C$8)</f>
        <v/>
      </c>
    </row>
    <row r="401" customFormat="false" ht="15" hidden="false" customHeight="false" outlineLevel="0" collapsed="false">
      <c r="A401" s="33"/>
      <c r="B401" s="34"/>
      <c r="C401" s="35"/>
      <c r="D401" s="35"/>
      <c r="E401" s="35"/>
      <c r="F401" s="36"/>
      <c r="G401" s="37" t="str">
        <f aca="false">IF(F401="","",F401/Parámetros!$C$8)</f>
        <v/>
      </c>
    </row>
    <row r="402" customFormat="false" ht="15" hidden="false" customHeight="false" outlineLevel="0" collapsed="false">
      <c r="A402" s="33"/>
      <c r="B402" s="34"/>
      <c r="C402" s="35"/>
      <c r="D402" s="35"/>
      <c r="E402" s="35"/>
      <c r="F402" s="36"/>
      <c r="G402" s="37" t="str">
        <f aca="false">IF(F402="","",F402/Parámetros!$C$8)</f>
        <v/>
      </c>
    </row>
    <row r="403" customFormat="false" ht="15" hidden="false" customHeight="false" outlineLevel="0" collapsed="false">
      <c r="A403" s="33"/>
      <c r="B403" s="34"/>
      <c r="C403" s="35"/>
      <c r="D403" s="35"/>
      <c r="E403" s="35"/>
      <c r="F403" s="36"/>
      <c r="G403" s="37" t="str">
        <f aca="false">IF(F403="","",F403/Parámetros!$C$8)</f>
        <v/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24"/>
  </cols>
  <sheetData>
    <row r="1" customFormat="false" ht="24" hidden="false" customHeight="true" outlineLevel="0" collapsed="false">
      <c r="A1" s="2" t="s">
        <v>113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114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8" t="s">
        <v>100</v>
      </c>
      <c r="B3" s="8" t="s">
        <v>28</v>
      </c>
      <c r="C3" s="8" t="s">
        <v>115</v>
      </c>
      <c r="D3" s="8" t="s">
        <v>116</v>
      </c>
      <c r="E3" s="8" t="s">
        <v>117</v>
      </c>
      <c r="F3" s="8" t="s">
        <v>118</v>
      </c>
    </row>
    <row r="4" customFormat="false" ht="15" hidden="false" customHeight="false" outlineLevel="0" collapsed="false">
      <c r="A4" s="33" t="n">
        <v>46237</v>
      </c>
      <c r="B4" s="35" t="s">
        <v>31</v>
      </c>
      <c r="C4" s="35" t="s">
        <v>119</v>
      </c>
      <c r="D4" s="34" t="n">
        <v>1</v>
      </c>
      <c r="E4" s="34" t="s">
        <v>120</v>
      </c>
      <c r="F4" s="35" t="s">
        <v>121</v>
      </c>
    </row>
    <row r="5" customFormat="false" ht="15" hidden="false" customHeight="false" outlineLevel="0" collapsed="false">
      <c r="A5" s="33" t="n">
        <v>46237</v>
      </c>
      <c r="B5" s="35" t="s">
        <v>36</v>
      </c>
      <c r="C5" s="35" t="s">
        <v>119</v>
      </c>
      <c r="D5" s="34" t="n">
        <v>1</v>
      </c>
      <c r="E5" s="34" t="s">
        <v>120</v>
      </c>
      <c r="F5" s="35" t="s">
        <v>121</v>
      </c>
    </row>
    <row r="6" customFormat="false" ht="15" hidden="false" customHeight="false" outlineLevel="0" collapsed="false">
      <c r="A6" s="33" t="n">
        <v>46237</v>
      </c>
      <c r="B6" s="35" t="s">
        <v>43</v>
      </c>
      <c r="C6" s="35" t="s">
        <v>122</v>
      </c>
      <c r="D6" s="34" t="n">
        <v>1</v>
      </c>
      <c r="E6" s="34" t="s">
        <v>120</v>
      </c>
      <c r="F6" s="35" t="s">
        <v>123</v>
      </c>
    </row>
    <row r="7" customFormat="false" ht="15" hidden="false" customHeight="false" outlineLevel="0" collapsed="false">
      <c r="A7" s="33" t="n">
        <v>46237</v>
      </c>
      <c r="B7" s="35" t="s">
        <v>31</v>
      </c>
      <c r="C7" s="35" t="s">
        <v>124</v>
      </c>
      <c r="D7" s="34" t="n">
        <v>1</v>
      </c>
      <c r="E7" s="34" t="s">
        <v>125</v>
      </c>
      <c r="F7" s="35" t="s">
        <v>126</v>
      </c>
    </row>
    <row r="8" customFormat="false" ht="15" hidden="false" customHeight="false" outlineLevel="0" collapsed="false">
      <c r="A8" s="33" t="n">
        <v>46237</v>
      </c>
      <c r="B8" s="35" t="s">
        <v>34</v>
      </c>
      <c r="C8" s="35" t="s">
        <v>124</v>
      </c>
      <c r="D8" s="34" t="n">
        <v>1</v>
      </c>
      <c r="E8" s="34" t="s">
        <v>125</v>
      </c>
      <c r="F8" s="35" t="s">
        <v>126</v>
      </c>
    </row>
    <row r="9" customFormat="false" ht="15" hidden="false" customHeight="false" outlineLevel="0" collapsed="false">
      <c r="A9" s="33" t="n">
        <v>46238</v>
      </c>
      <c r="B9" s="35" t="s">
        <v>33</v>
      </c>
      <c r="C9" s="35" t="s">
        <v>127</v>
      </c>
      <c r="D9" s="34" t="n">
        <v>3</v>
      </c>
      <c r="E9" s="34" t="s">
        <v>120</v>
      </c>
      <c r="F9" s="35" t="s">
        <v>128</v>
      </c>
    </row>
    <row r="10" customFormat="false" ht="15" hidden="false" customHeight="false" outlineLevel="0" collapsed="false">
      <c r="A10" s="33" t="n">
        <v>46238</v>
      </c>
      <c r="B10" s="35" t="s">
        <v>38</v>
      </c>
      <c r="C10" s="35" t="s">
        <v>129</v>
      </c>
      <c r="D10" s="34" t="n">
        <v>1</v>
      </c>
      <c r="E10" s="34" t="s">
        <v>120</v>
      </c>
      <c r="F10" s="35" t="s">
        <v>130</v>
      </c>
    </row>
    <row r="11" customFormat="false" ht="15" hidden="false" customHeight="false" outlineLevel="0" collapsed="false">
      <c r="A11" s="33" t="n">
        <v>46238</v>
      </c>
      <c r="B11" s="35" t="s">
        <v>35</v>
      </c>
      <c r="C11" s="35" t="s">
        <v>129</v>
      </c>
      <c r="D11" s="34" t="n">
        <v>1</v>
      </c>
      <c r="E11" s="34" t="s">
        <v>120</v>
      </c>
      <c r="F11" s="35" t="s">
        <v>130</v>
      </c>
    </row>
    <row r="12" customFormat="false" ht="15" hidden="false" customHeight="false" outlineLevel="0" collapsed="false">
      <c r="A12" s="33"/>
      <c r="B12" s="35"/>
      <c r="C12" s="35"/>
      <c r="D12" s="34"/>
      <c r="E12" s="34"/>
      <c r="F12" s="35"/>
    </row>
    <row r="13" customFormat="false" ht="15" hidden="false" customHeight="false" outlineLevel="0" collapsed="false">
      <c r="A13" s="33"/>
      <c r="B13" s="35"/>
      <c r="C13" s="35"/>
      <c r="D13" s="34"/>
      <c r="E13" s="34"/>
      <c r="F13" s="35"/>
    </row>
    <row r="14" customFormat="false" ht="15" hidden="false" customHeight="false" outlineLevel="0" collapsed="false">
      <c r="A14" s="33"/>
      <c r="B14" s="35"/>
      <c r="C14" s="35"/>
      <c r="D14" s="34"/>
      <c r="E14" s="34"/>
      <c r="F14" s="35"/>
    </row>
    <row r="15" customFormat="false" ht="15" hidden="false" customHeight="false" outlineLevel="0" collapsed="false">
      <c r="A15" s="33"/>
      <c r="B15" s="35"/>
      <c r="C15" s="35"/>
      <c r="D15" s="34"/>
      <c r="E15" s="34"/>
      <c r="F15" s="35"/>
    </row>
    <row r="16" customFormat="false" ht="15" hidden="false" customHeight="false" outlineLevel="0" collapsed="false">
      <c r="A16" s="33"/>
      <c r="B16" s="35"/>
      <c r="C16" s="35"/>
      <c r="D16" s="34"/>
      <c r="E16" s="34"/>
      <c r="F16" s="35"/>
    </row>
    <row r="17" customFormat="false" ht="15" hidden="false" customHeight="false" outlineLevel="0" collapsed="false">
      <c r="A17" s="33"/>
      <c r="B17" s="35"/>
      <c r="C17" s="35"/>
      <c r="D17" s="34"/>
      <c r="E17" s="34"/>
      <c r="F17" s="35"/>
    </row>
    <row r="18" customFormat="false" ht="15" hidden="false" customHeight="false" outlineLevel="0" collapsed="false">
      <c r="A18" s="33"/>
      <c r="B18" s="35"/>
      <c r="C18" s="35"/>
      <c r="D18" s="34"/>
      <c r="E18" s="34"/>
      <c r="F18" s="35"/>
    </row>
    <row r="19" customFormat="false" ht="15" hidden="false" customHeight="false" outlineLevel="0" collapsed="false">
      <c r="A19" s="33"/>
      <c r="B19" s="35"/>
      <c r="C19" s="35"/>
      <c r="D19" s="34"/>
      <c r="E19" s="34"/>
      <c r="F19" s="35"/>
    </row>
    <row r="20" customFormat="false" ht="15" hidden="false" customHeight="false" outlineLevel="0" collapsed="false">
      <c r="A20" s="33"/>
      <c r="B20" s="35"/>
      <c r="C20" s="35"/>
      <c r="D20" s="34"/>
      <c r="E20" s="34"/>
      <c r="F20" s="35"/>
    </row>
    <row r="21" customFormat="false" ht="15" hidden="false" customHeight="false" outlineLevel="0" collapsed="false">
      <c r="A21" s="33"/>
      <c r="B21" s="35"/>
      <c r="C21" s="35"/>
      <c r="D21" s="34"/>
      <c r="E21" s="34"/>
      <c r="F21" s="35"/>
    </row>
    <row r="22" customFormat="false" ht="15" hidden="false" customHeight="false" outlineLevel="0" collapsed="false">
      <c r="A22" s="33"/>
      <c r="B22" s="35"/>
      <c r="C22" s="35"/>
      <c r="D22" s="34"/>
      <c r="E22" s="34"/>
      <c r="F22" s="35"/>
    </row>
    <row r="23" customFormat="false" ht="15" hidden="false" customHeight="false" outlineLevel="0" collapsed="false">
      <c r="A23" s="33"/>
      <c r="B23" s="35"/>
      <c r="C23" s="35"/>
      <c r="D23" s="34"/>
      <c r="E23" s="34"/>
      <c r="F23" s="35"/>
    </row>
    <row r="24" customFormat="false" ht="15" hidden="false" customHeight="false" outlineLevel="0" collapsed="false">
      <c r="A24" s="33"/>
      <c r="B24" s="35"/>
      <c r="C24" s="35"/>
      <c r="D24" s="34"/>
      <c r="E24" s="34"/>
      <c r="F24" s="35"/>
    </row>
    <row r="25" customFormat="false" ht="15" hidden="false" customHeight="false" outlineLevel="0" collapsed="false">
      <c r="A25" s="33"/>
      <c r="B25" s="35"/>
      <c r="C25" s="35"/>
      <c r="D25" s="34"/>
      <c r="E25" s="34"/>
      <c r="F25" s="35"/>
    </row>
    <row r="26" customFormat="false" ht="15" hidden="false" customHeight="false" outlineLevel="0" collapsed="false">
      <c r="A26" s="33"/>
      <c r="B26" s="35"/>
      <c r="C26" s="35"/>
      <c r="D26" s="34"/>
      <c r="E26" s="34"/>
      <c r="F26" s="35"/>
    </row>
    <row r="27" customFormat="false" ht="15" hidden="false" customHeight="false" outlineLevel="0" collapsed="false">
      <c r="A27" s="33"/>
      <c r="B27" s="35"/>
      <c r="C27" s="35"/>
      <c r="D27" s="34"/>
      <c r="E27" s="34"/>
      <c r="F27" s="35"/>
    </row>
    <row r="28" customFormat="false" ht="15" hidden="false" customHeight="false" outlineLevel="0" collapsed="false">
      <c r="A28" s="33"/>
      <c r="B28" s="35"/>
      <c r="C28" s="35"/>
      <c r="D28" s="34"/>
      <c r="E28" s="34"/>
      <c r="F28" s="35"/>
    </row>
    <row r="29" customFormat="false" ht="15" hidden="false" customHeight="false" outlineLevel="0" collapsed="false">
      <c r="A29" s="33"/>
      <c r="B29" s="35"/>
      <c r="C29" s="35"/>
      <c r="D29" s="34"/>
      <c r="E29" s="34"/>
      <c r="F29" s="35"/>
    </row>
    <row r="30" customFormat="false" ht="15" hidden="false" customHeight="false" outlineLevel="0" collapsed="false">
      <c r="A30" s="33"/>
      <c r="B30" s="35"/>
      <c r="C30" s="35"/>
      <c r="D30" s="34"/>
      <c r="E30" s="34"/>
      <c r="F30" s="35"/>
    </row>
    <row r="31" customFormat="false" ht="15" hidden="false" customHeight="false" outlineLevel="0" collapsed="false">
      <c r="A31" s="33"/>
      <c r="B31" s="35"/>
      <c r="C31" s="35"/>
      <c r="D31" s="34"/>
      <c r="E31" s="34"/>
      <c r="F31" s="35"/>
    </row>
    <row r="32" customFormat="false" ht="15" hidden="false" customHeight="false" outlineLevel="0" collapsed="false">
      <c r="A32" s="33"/>
      <c r="B32" s="35"/>
      <c r="C32" s="35"/>
      <c r="D32" s="34"/>
      <c r="E32" s="34"/>
      <c r="F32" s="35"/>
    </row>
    <row r="33" customFormat="false" ht="15" hidden="false" customHeight="false" outlineLevel="0" collapsed="false">
      <c r="A33" s="33"/>
      <c r="B33" s="35"/>
      <c r="C33" s="35"/>
      <c r="D33" s="34"/>
      <c r="E33" s="34"/>
      <c r="F33" s="35"/>
    </row>
    <row r="34" customFormat="false" ht="15" hidden="false" customHeight="false" outlineLevel="0" collapsed="false">
      <c r="A34" s="33"/>
      <c r="B34" s="35"/>
      <c r="C34" s="35"/>
      <c r="D34" s="34"/>
      <c r="E34" s="34"/>
      <c r="F34" s="35"/>
    </row>
    <row r="35" customFormat="false" ht="15" hidden="false" customHeight="false" outlineLevel="0" collapsed="false">
      <c r="A35" s="33"/>
      <c r="B35" s="35"/>
      <c r="C35" s="35"/>
      <c r="D35" s="34"/>
      <c r="E35" s="34"/>
      <c r="F35" s="35"/>
    </row>
    <row r="36" customFormat="false" ht="15" hidden="false" customHeight="false" outlineLevel="0" collapsed="false">
      <c r="A36" s="33"/>
      <c r="B36" s="35"/>
      <c r="C36" s="35"/>
      <c r="D36" s="34"/>
      <c r="E36" s="34"/>
      <c r="F36" s="35"/>
    </row>
    <row r="37" customFormat="false" ht="15" hidden="false" customHeight="false" outlineLevel="0" collapsed="false">
      <c r="A37" s="33"/>
      <c r="B37" s="35"/>
      <c r="C37" s="35"/>
      <c r="D37" s="34"/>
      <c r="E37" s="34"/>
      <c r="F37" s="35"/>
    </row>
    <row r="38" customFormat="false" ht="15" hidden="false" customHeight="false" outlineLevel="0" collapsed="false">
      <c r="A38" s="33"/>
      <c r="B38" s="35"/>
      <c r="C38" s="35"/>
      <c r="D38" s="34"/>
      <c r="E38" s="34"/>
      <c r="F38" s="35"/>
    </row>
    <row r="39" customFormat="false" ht="15" hidden="false" customHeight="false" outlineLevel="0" collapsed="false">
      <c r="A39" s="33"/>
      <c r="B39" s="35"/>
      <c r="C39" s="35"/>
      <c r="D39" s="34"/>
      <c r="E39" s="34"/>
      <c r="F39" s="35"/>
    </row>
    <row r="40" customFormat="false" ht="15" hidden="false" customHeight="false" outlineLevel="0" collapsed="false">
      <c r="A40" s="33"/>
      <c r="B40" s="35"/>
      <c r="C40" s="35"/>
      <c r="D40" s="34"/>
      <c r="E40" s="34"/>
      <c r="F40" s="35"/>
    </row>
    <row r="41" customFormat="false" ht="15" hidden="false" customHeight="false" outlineLevel="0" collapsed="false">
      <c r="A41" s="33"/>
      <c r="B41" s="35"/>
      <c r="C41" s="35"/>
      <c r="D41" s="34"/>
      <c r="E41" s="34"/>
      <c r="F41" s="35"/>
    </row>
    <row r="42" customFormat="false" ht="15" hidden="false" customHeight="false" outlineLevel="0" collapsed="false">
      <c r="A42" s="33"/>
      <c r="B42" s="35"/>
      <c r="C42" s="35"/>
      <c r="D42" s="34"/>
      <c r="E42" s="34"/>
      <c r="F42" s="35"/>
    </row>
    <row r="43" customFormat="false" ht="15" hidden="false" customHeight="false" outlineLevel="0" collapsed="false">
      <c r="A43" s="33"/>
      <c r="B43" s="35"/>
      <c r="C43" s="35"/>
      <c r="D43" s="34"/>
      <c r="E43" s="34"/>
      <c r="F43" s="35"/>
    </row>
    <row r="44" customFormat="false" ht="15" hidden="false" customHeight="false" outlineLevel="0" collapsed="false">
      <c r="A44" s="33"/>
      <c r="B44" s="35"/>
      <c r="C44" s="35"/>
      <c r="D44" s="34"/>
      <c r="E44" s="34"/>
      <c r="F44" s="35"/>
    </row>
    <row r="45" customFormat="false" ht="15" hidden="false" customHeight="false" outlineLevel="0" collapsed="false">
      <c r="A45" s="33"/>
      <c r="B45" s="35"/>
      <c r="C45" s="35"/>
      <c r="D45" s="34"/>
      <c r="E45" s="34"/>
      <c r="F45" s="35"/>
    </row>
    <row r="46" customFormat="false" ht="15" hidden="false" customHeight="false" outlineLevel="0" collapsed="false">
      <c r="A46" s="33"/>
      <c r="B46" s="35"/>
      <c r="C46" s="35"/>
      <c r="D46" s="34"/>
      <c r="E46" s="34"/>
      <c r="F46" s="35"/>
    </row>
    <row r="47" customFormat="false" ht="15" hidden="false" customHeight="false" outlineLevel="0" collapsed="false">
      <c r="A47" s="33"/>
      <c r="B47" s="35"/>
      <c r="C47" s="35"/>
      <c r="D47" s="34"/>
      <c r="E47" s="34"/>
      <c r="F47" s="35"/>
    </row>
    <row r="48" customFormat="false" ht="15" hidden="false" customHeight="false" outlineLevel="0" collapsed="false">
      <c r="A48" s="33"/>
      <c r="B48" s="35"/>
      <c r="C48" s="35"/>
      <c r="D48" s="34"/>
      <c r="E48" s="34"/>
      <c r="F48" s="35"/>
    </row>
    <row r="49" customFormat="false" ht="15" hidden="false" customHeight="false" outlineLevel="0" collapsed="false">
      <c r="A49" s="33"/>
      <c r="B49" s="35"/>
      <c r="C49" s="35"/>
      <c r="D49" s="34"/>
      <c r="E49" s="34"/>
      <c r="F49" s="35"/>
    </row>
    <row r="50" customFormat="false" ht="15" hidden="false" customHeight="false" outlineLevel="0" collapsed="false">
      <c r="A50" s="33"/>
      <c r="B50" s="35"/>
      <c r="C50" s="35"/>
      <c r="D50" s="34"/>
      <c r="E50" s="34"/>
      <c r="F50" s="35"/>
    </row>
    <row r="51" customFormat="false" ht="15" hidden="false" customHeight="false" outlineLevel="0" collapsed="false">
      <c r="A51" s="33"/>
      <c r="B51" s="35"/>
      <c r="C51" s="35"/>
      <c r="D51" s="34"/>
      <c r="E51" s="34"/>
      <c r="F51" s="35"/>
    </row>
    <row r="52" customFormat="false" ht="15" hidden="false" customHeight="false" outlineLevel="0" collapsed="false">
      <c r="A52" s="33"/>
      <c r="B52" s="35"/>
      <c r="C52" s="35"/>
      <c r="D52" s="34"/>
      <c r="E52" s="34"/>
      <c r="F52" s="35"/>
    </row>
    <row r="53" customFormat="false" ht="15" hidden="false" customHeight="false" outlineLevel="0" collapsed="false">
      <c r="A53" s="33"/>
      <c r="B53" s="35"/>
      <c r="C53" s="35"/>
      <c r="D53" s="34"/>
      <c r="E53" s="34"/>
      <c r="F53" s="35"/>
    </row>
    <row r="54" customFormat="false" ht="15" hidden="false" customHeight="false" outlineLevel="0" collapsed="false">
      <c r="A54" s="33"/>
      <c r="B54" s="35"/>
      <c r="C54" s="35"/>
      <c r="D54" s="34"/>
      <c r="E54" s="34"/>
      <c r="F54" s="35"/>
    </row>
    <row r="55" customFormat="false" ht="15" hidden="false" customHeight="false" outlineLevel="0" collapsed="false">
      <c r="A55" s="33"/>
      <c r="B55" s="35"/>
      <c r="C55" s="35"/>
      <c r="D55" s="34"/>
      <c r="E55" s="34"/>
      <c r="F55" s="35"/>
    </row>
    <row r="56" customFormat="false" ht="15" hidden="false" customHeight="false" outlineLevel="0" collapsed="false">
      <c r="A56" s="33"/>
      <c r="B56" s="35"/>
      <c r="C56" s="35"/>
      <c r="D56" s="34"/>
      <c r="E56" s="34"/>
      <c r="F56" s="35"/>
    </row>
    <row r="57" customFormat="false" ht="15" hidden="false" customHeight="false" outlineLevel="0" collapsed="false">
      <c r="A57" s="33"/>
      <c r="B57" s="35"/>
      <c r="C57" s="35"/>
      <c r="D57" s="34"/>
      <c r="E57" s="34"/>
      <c r="F57" s="35"/>
    </row>
    <row r="58" customFormat="false" ht="15" hidden="false" customHeight="false" outlineLevel="0" collapsed="false">
      <c r="A58" s="33"/>
      <c r="B58" s="35"/>
      <c r="C58" s="35"/>
      <c r="D58" s="34"/>
      <c r="E58" s="34"/>
      <c r="F58" s="35"/>
    </row>
    <row r="59" customFormat="false" ht="15" hidden="false" customHeight="false" outlineLevel="0" collapsed="false">
      <c r="A59" s="33"/>
      <c r="B59" s="35"/>
      <c r="C59" s="35"/>
      <c r="D59" s="34"/>
      <c r="E59" s="34"/>
      <c r="F59" s="35"/>
    </row>
    <row r="60" customFormat="false" ht="15" hidden="false" customHeight="false" outlineLevel="0" collapsed="false">
      <c r="A60" s="33"/>
      <c r="B60" s="35"/>
      <c r="C60" s="35"/>
      <c r="D60" s="34"/>
      <c r="E60" s="34"/>
      <c r="F60" s="35"/>
    </row>
    <row r="61" customFormat="false" ht="15" hidden="false" customHeight="false" outlineLevel="0" collapsed="false">
      <c r="A61" s="33"/>
      <c r="B61" s="35"/>
      <c r="C61" s="35"/>
      <c r="D61" s="34"/>
      <c r="E61" s="34"/>
      <c r="F61" s="35"/>
    </row>
    <row r="62" customFormat="false" ht="15" hidden="false" customHeight="false" outlineLevel="0" collapsed="false">
      <c r="A62" s="33"/>
      <c r="B62" s="35"/>
      <c r="C62" s="35"/>
      <c r="D62" s="34"/>
      <c r="E62" s="34"/>
      <c r="F62" s="35"/>
    </row>
    <row r="63" customFormat="false" ht="15" hidden="false" customHeight="false" outlineLevel="0" collapsed="false">
      <c r="A63" s="33"/>
      <c r="B63" s="35"/>
      <c r="C63" s="35"/>
      <c r="D63" s="34"/>
      <c r="E63" s="34"/>
      <c r="F63" s="35"/>
    </row>
    <row r="64" customFormat="false" ht="15" hidden="false" customHeight="false" outlineLevel="0" collapsed="false">
      <c r="A64" s="33"/>
      <c r="B64" s="35"/>
      <c r="C64" s="35"/>
      <c r="D64" s="34"/>
      <c r="E64" s="34"/>
      <c r="F64" s="35"/>
    </row>
    <row r="65" customFormat="false" ht="15" hidden="false" customHeight="false" outlineLevel="0" collapsed="false">
      <c r="A65" s="33"/>
      <c r="B65" s="35"/>
      <c r="C65" s="35"/>
      <c r="D65" s="34"/>
      <c r="E65" s="34"/>
      <c r="F65" s="35"/>
    </row>
    <row r="66" customFormat="false" ht="15" hidden="false" customHeight="false" outlineLevel="0" collapsed="false">
      <c r="A66" s="33"/>
      <c r="B66" s="35"/>
      <c r="C66" s="35"/>
      <c r="D66" s="34"/>
      <c r="E66" s="34"/>
      <c r="F66" s="35"/>
    </row>
    <row r="67" customFormat="false" ht="15" hidden="false" customHeight="false" outlineLevel="0" collapsed="false">
      <c r="A67" s="33"/>
      <c r="B67" s="35"/>
      <c r="C67" s="35"/>
      <c r="D67" s="34"/>
      <c r="E67" s="34"/>
      <c r="F67" s="35"/>
    </row>
    <row r="68" customFormat="false" ht="15" hidden="false" customHeight="false" outlineLevel="0" collapsed="false">
      <c r="A68" s="33"/>
      <c r="B68" s="35"/>
      <c r="C68" s="35"/>
      <c r="D68" s="34"/>
      <c r="E68" s="34"/>
      <c r="F68" s="35"/>
    </row>
    <row r="69" customFormat="false" ht="15" hidden="false" customHeight="false" outlineLevel="0" collapsed="false">
      <c r="A69" s="33"/>
      <c r="B69" s="35"/>
      <c r="C69" s="35"/>
      <c r="D69" s="34"/>
      <c r="E69" s="34"/>
      <c r="F69" s="35"/>
    </row>
    <row r="70" customFormat="false" ht="15" hidden="false" customHeight="false" outlineLevel="0" collapsed="false">
      <c r="A70" s="33"/>
      <c r="B70" s="35"/>
      <c r="C70" s="35"/>
      <c r="D70" s="34"/>
      <c r="E70" s="34"/>
      <c r="F70" s="35"/>
    </row>
    <row r="71" customFormat="false" ht="15" hidden="false" customHeight="false" outlineLevel="0" collapsed="false">
      <c r="A71" s="33"/>
      <c r="B71" s="35"/>
      <c r="C71" s="35"/>
      <c r="D71" s="34"/>
      <c r="E71" s="34"/>
      <c r="F71" s="35"/>
    </row>
    <row r="72" customFormat="false" ht="15" hidden="false" customHeight="false" outlineLevel="0" collapsed="false">
      <c r="A72" s="33"/>
      <c r="B72" s="35"/>
      <c r="C72" s="35"/>
      <c r="D72" s="34"/>
      <c r="E72" s="34"/>
      <c r="F72" s="35"/>
    </row>
    <row r="73" customFormat="false" ht="15" hidden="false" customHeight="false" outlineLevel="0" collapsed="false">
      <c r="A73" s="33"/>
      <c r="B73" s="35"/>
      <c r="C73" s="35"/>
      <c r="D73" s="34"/>
      <c r="E73" s="34"/>
      <c r="F73" s="35"/>
    </row>
    <row r="74" customFormat="false" ht="15" hidden="false" customHeight="false" outlineLevel="0" collapsed="false">
      <c r="A74" s="33"/>
      <c r="B74" s="35"/>
      <c r="C74" s="35"/>
      <c r="D74" s="34"/>
      <c r="E74" s="34"/>
      <c r="F74" s="35"/>
    </row>
    <row r="75" customFormat="false" ht="15" hidden="false" customHeight="false" outlineLevel="0" collapsed="false">
      <c r="A75" s="33"/>
      <c r="B75" s="35"/>
      <c r="C75" s="35"/>
      <c r="D75" s="34"/>
      <c r="E75" s="34"/>
      <c r="F75" s="35"/>
    </row>
    <row r="76" customFormat="false" ht="15" hidden="false" customHeight="false" outlineLevel="0" collapsed="false">
      <c r="A76" s="33"/>
      <c r="B76" s="35"/>
      <c r="C76" s="35"/>
      <c r="D76" s="34"/>
      <c r="E76" s="34"/>
      <c r="F76" s="35"/>
    </row>
    <row r="77" customFormat="false" ht="15" hidden="false" customHeight="false" outlineLevel="0" collapsed="false">
      <c r="A77" s="33"/>
      <c r="B77" s="35"/>
      <c r="C77" s="35"/>
      <c r="D77" s="34"/>
      <c r="E77" s="34"/>
      <c r="F77" s="35"/>
    </row>
    <row r="78" customFormat="false" ht="15" hidden="false" customHeight="false" outlineLevel="0" collapsed="false">
      <c r="A78" s="33"/>
      <c r="B78" s="35"/>
      <c r="C78" s="35"/>
      <c r="D78" s="34"/>
      <c r="E78" s="34"/>
      <c r="F78" s="35"/>
    </row>
    <row r="79" customFormat="false" ht="15" hidden="false" customHeight="false" outlineLevel="0" collapsed="false">
      <c r="A79" s="33"/>
      <c r="B79" s="35"/>
      <c r="C79" s="35"/>
      <c r="D79" s="34"/>
      <c r="E79" s="34"/>
      <c r="F79" s="35"/>
    </row>
    <row r="80" customFormat="false" ht="15" hidden="false" customHeight="false" outlineLevel="0" collapsed="false">
      <c r="A80" s="33"/>
      <c r="B80" s="35"/>
      <c r="C80" s="35"/>
      <c r="D80" s="34"/>
      <c r="E80" s="34"/>
      <c r="F80" s="35"/>
    </row>
    <row r="81" customFormat="false" ht="15" hidden="false" customHeight="false" outlineLevel="0" collapsed="false">
      <c r="A81" s="33"/>
      <c r="B81" s="35"/>
      <c r="C81" s="35"/>
      <c r="D81" s="34"/>
      <c r="E81" s="34"/>
      <c r="F81" s="35"/>
    </row>
    <row r="82" customFormat="false" ht="15" hidden="false" customHeight="false" outlineLevel="0" collapsed="false">
      <c r="A82" s="33"/>
      <c r="B82" s="35"/>
      <c r="C82" s="35"/>
      <c r="D82" s="34"/>
      <c r="E82" s="34"/>
      <c r="F82" s="35"/>
    </row>
    <row r="83" customFormat="false" ht="15" hidden="false" customHeight="false" outlineLevel="0" collapsed="false">
      <c r="A83" s="33"/>
      <c r="B83" s="35"/>
      <c r="C83" s="35"/>
      <c r="D83" s="34"/>
      <c r="E83" s="34"/>
      <c r="F83" s="35"/>
    </row>
    <row r="84" customFormat="false" ht="15" hidden="false" customHeight="false" outlineLevel="0" collapsed="false">
      <c r="A84" s="33"/>
      <c r="B84" s="35"/>
      <c r="C84" s="35"/>
      <c r="D84" s="34"/>
      <c r="E84" s="34"/>
      <c r="F84" s="35"/>
    </row>
    <row r="85" customFormat="false" ht="15" hidden="false" customHeight="false" outlineLevel="0" collapsed="false">
      <c r="A85" s="33"/>
      <c r="B85" s="35"/>
      <c r="C85" s="35"/>
      <c r="D85" s="34"/>
      <c r="E85" s="34"/>
      <c r="F85" s="35"/>
    </row>
    <row r="86" customFormat="false" ht="15" hidden="false" customHeight="false" outlineLevel="0" collapsed="false">
      <c r="A86" s="33"/>
      <c r="B86" s="35"/>
      <c r="C86" s="35"/>
      <c r="D86" s="34"/>
      <c r="E86" s="34"/>
      <c r="F86" s="35"/>
    </row>
    <row r="87" customFormat="false" ht="15" hidden="false" customHeight="false" outlineLevel="0" collapsed="false">
      <c r="A87" s="33"/>
      <c r="B87" s="35"/>
      <c r="C87" s="35"/>
      <c r="D87" s="34"/>
      <c r="E87" s="34"/>
      <c r="F87" s="35"/>
    </row>
    <row r="88" customFormat="false" ht="15" hidden="false" customHeight="false" outlineLevel="0" collapsed="false">
      <c r="A88" s="33"/>
      <c r="B88" s="35"/>
      <c r="C88" s="35"/>
      <c r="D88" s="34"/>
      <c r="E88" s="34"/>
      <c r="F88" s="35"/>
    </row>
    <row r="89" customFormat="false" ht="15" hidden="false" customHeight="false" outlineLevel="0" collapsed="false">
      <c r="A89" s="33"/>
      <c r="B89" s="35"/>
      <c r="C89" s="35"/>
      <c r="D89" s="34"/>
      <c r="E89" s="34"/>
      <c r="F89" s="35"/>
    </row>
    <row r="90" customFormat="false" ht="15" hidden="false" customHeight="false" outlineLevel="0" collapsed="false">
      <c r="A90" s="33"/>
      <c r="B90" s="35"/>
      <c r="C90" s="35"/>
      <c r="D90" s="34"/>
      <c r="E90" s="34"/>
      <c r="F90" s="35"/>
    </row>
    <row r="91" customFormat="false" ht="15" hidden="false" customHeight="false" outlineLevel="0" collapsed="false">
      <c r="A91" s="33"/>
      <c r="B91" s="35"/>
      <c r="C91" s="35"/>
      <c r="D91" s="34"/>
      <c r="E91" s="34"/>
      <c r="F91" s="35"/>
    </row>
    <row r="92" customFormat="false" ht="15" hidden="false" customHeight="false" outlineLevel="0" collapsed="false">
      <c r="A92" s="33"/>
      <c r="B92" s="35"/>
      <c r="C92" s="35"/>
      <c r="D92" s="34"/>
      <c r="E92" s="34"/>
      <c r="F92" s="35"/>
    </row>
    <row r="93" customFormat="false" ht="15" hidden="false" customHeight="false" outlineLevel="0" collapsed="false">
      <c r="A93" s="33"/>
      <c r="B93" s="35"/>
      <c r="C93" s="35"/>
      <c r="D93" s="34"/>
      <c r="E93" s="34"/>
      <c r="F93" s="35"/>
    </row>
    <row r="94" customFormat="false" ht="15" hidden="false" customHeight="false" outlineLevel="0" collapsed="false">
      <c r="A94" s="33"/>
      <c r="B94" s="35"/>
      <c r="C94" s="35"/>
      <c r="D94" s="34"/>
      <c r="E94" s="34"/>
      <c r="F94" s="35"/>
    </row>
    <row r="95" customFormat="false" ht="15" hidden="false" customHeight="false" outlineLevel="0" collapsed="false">
      <c r="A95" s="33"/>
      <c r="B95" s="35"/>
      <c r="C95" s="35"/>
      <c r="D95" s="34"/>
      <c r="E95" s="34"/>
      <c r="F95" s="35"/>
    </row>
    <row r="96" customFormat="false" ht="15" hidden="false" customHeight="false" outlineLevel="0" collapsed="false">
      <c r="A96" s="33"/>
      <c r="B96" s="35"/>
      <c r="C96" s="35"/>
      <c r="D96" s="34"/>
      <c r="E96" s="34"/>
      <c r="F96" s="35"/>
    </row>
    <row r="97" customFormat="false" ht="15" hidden="false" customHeight="false" outlineLevel="0" collapsed="false">
      <c r="A97" s="33"/>
      <c r="B97" s="35"/>
      <c r="C97" s="35"/>
      <c r="D97" s="34"/>
      <c r="E97" s="34"/>
      <c r="F97" s="35"/>
    </row>
    <row r="98" customFormat="false" ht="15" hidden="false" customHeight="false" outlineLevel="0" collapsed="false">
      <c r="A98" s="33"/>
      <c r="B98" s="35"/>
      <c r="C98" s="35"/>
      <c r="D98" s="34"/>
      <c r="E98" s="34"/>
      <c r="F98" s="35"/>
    </row>
    <row r="99" customFormat="false" ht="15" hidden="false" customHeight="false" outlineLevel="0" collapsed="false">
      <c r="A99" s="33"/>
      <c r="B99" s="35"/>
      <c r="C99" s="35"/>
      <c r="D99" s="34"/>
      <c r="E99" s="34"/>
      <c r="F99" s="35"/>
    </row>
    <row r="100" customFormat="false" ht="15" hidden="false" customHeight="false" outlineLevel="0" collapsed="false">
      <c r="A100" s="33"/>
      <c r="B100" s="35"/>
      <c r="C100" s="35"/>
      <c r="D100" s="34"/>
      <c r="E100" s="34"/>
      <c r="F100" s="35"/>
    </row>
    <row r="101" customFormat="false" ht="15" hidden="false" customHeight="false" outlineLevel="0" collapsed="false">
      <c r="A101" s="33"/>
      <c r="B101" s="35"/>
      <c r="C101" s="35"/>
      <c r="D101" s="34"/>
      <c r="E101" s="34"/>
      <c r="F101" s="35"/>
    </row>
    <row r="102" customFormat="false" ht="15" hidden="false" customHeight="false" outlineLevel="0" collapsed="false">
      <c r="A102" s="33"/>
      <c r="B102" s="35"/>
      <c r="C102" s="35"/>
      <c r="D102" s="34"/>
      <c r="E102" s="34"/>
      <c r="F102" s="35"/>
    </row>
    <row r="103" customFormat="false" ht="15" hidden="false" customHeight="false" outlineLevel="0" collapsed="false">
      <c r="A103" s="33"/>
      <c r="B103" s="35"/>
      <c r="C103" s="35"/>
      <c r="D103" s="34"/>
      <c r="E103" s="34"/>
      <c r="F103" s="35"/>
    </row>
    <row r="104" customFormat="false" ht="15" hidden="false" customHeight="false" outlineLevel="0" collapsed="false">
      <c r="A104" s="33"/>
      <c r="B104" s="35"/>
      <c r="C104" s="35"/>
      <c r="D104" s="34"/>
      <c r="E104" s="34"/>
      <c r="F104" s="35"/>
    </row>
    <row r="105" customFormat="false" ht="15" hidden="false" customHeight="false" outlineLevel="0" collapsed="false">
      <c r="A105" s="33"/>
      <c r="B105" s="35"/>
      <c r="C105" s="35"/>
      <c r="D105" s="34"/>
      <c r="E105" s="34"/>
      <c r="F105" s="35"/>
    </row>
    <row r="106" customFormat="false" ht="15" hidden="false" customHeight="false" outlineLevel="0" collapsed="false">
      <c r="A106" s="33"/>
      <c r="B106" s="35"/>
      <c r="C106" s="35"/>
      <c r="D106" s="34"/>
      <c r="E106" s="34"/>
      <c r="F106" s="35"/>
    </row>
    <row r="107" customFormat="false" ht="15" hidden="false" customHeight="false" outlineLevel="0" collapsed="false">
      <c r="A107" s="33"/>
      <c r="B107" s="35"/>
      <c r="C107" s="35"/>
      <c r="D107" s="34"/>
      <c r="E107" s="34"/>
      <c r="F107" s="35"/>
    </row>
    <row r="108" customFormat="false" ht="15" hidden="false" customHeight="false" outlineLevel="0" collapsed="false">
      <c r="A108" s="33"/>
      <c r="B108" s="35"/>
      <c r="C108" s="35"/>
      <c r="D108" s="34"/>
      <c r="E108" s="34"/>
      <c r="F108" s="35"/>
    </row>
    <row r="109" customFormat="false" ht="15" hidden="false" customHeight="false" outlineLevel="0" collapsed="false">
      <c r="A109" s="33"/>
      <c r="B109" s="35"/>
      <c r="C109" s="35"/>
      <c r="D109" s="34"/>
      <c r="E109" s="34"/>
      <c r="F109" s="35"/>
    </row>
    <row r="110" customFormat="false" ht="15" hidden="false" customHeight="false" outlineLevel="0" collapsed="false">
      <c r="A110" s="33"/>
      <c r="B110" s="35"/>
      <c r="C110" s="35"/>
      <c r="D110" s="34"/>
      <c r="E110" s="34"/>
      <c r="F110" s="35"/>
    </row>
    <row r="111" customFormat="false" ht="15" hidden="false" customHeight="false" outlineLevel="0" collapsed="false">
      <c r="A111" s="33"/>
      <c r="B111" s="35"/>
      <c r="C111" s="35"/>
      <c r="D111" s="34"/>
      <c r="E111" s="34"/>
      <c r="F111" s="35"/>
    </row>
    <row r="112" customFormat="false" ht="15" hidden="false" customHeight="false" outlineLevel="0" collapsed="false">
      <c r="A112" s="33"/>
      <c r="B112" s="35"/>
      <c r="C112" s="35"/>
      <c r="D112" s="34"/>
      <c r="E112" s="34"/>
      <c r="F112" s="35"/>
    </row>
    <row r="113" customFormat="false" ht="15" hidden="false" customHeight="false" outlineLevel="0" collapsed="false">
      <c r="A113" s="33"/>
      <c r="B113" s="35"/>
      <c r="C113" s="35"/>
      <c r="D113" s="34"/>
      <c r="E113" s="34"/>
      <c r="F113" s="35"/>
    </row>
    <row r="114" customFormat="false" ht="15" hidden="false" customHeight="false" outlineLevel="0" collapsed="false">
      <c r="A114" s="33"/>
      <c r="B114" s="35"/>
      <c r="C114" s="35"/>
      <c r="D114" s="34"/>
      <c r="E114" s="34"/>
      <c r="F114" s="35"/>
    </row>
    <row r="115" customFormat="false" ht="15" hidden="false" customHeight="false" outlineLevel="0" collapsed="false">
      <c r="A115" s="33"/>
      <c r="B115" s="35"/>
      <c r="C115" s="35"/>
      <c r="D115" s="34"/>
      <c r="E115" s="34"/>
      <c r="F115" s="35"/>
    </row>
    <row r="116" customFormat="false" ht="15" hidden="false" customHeight="false" outlineLevel="0" collapsed="false">
      <c r="A116" s="33"/>
      <c r="B116" s="35"/>
      <c r="C116" s="35"/>
      <c r="D116" s="34"/>
      <c r="E116" s="34"/>
      <c r="F116" s="35"/>
    </row>
    <row r="117" customFormat="false" ht="15" hidden="false" customHeight="false" outlineLevel="0" collapsed="false">
      <c r="A117" s="33"/>
      <c r="B117" s="35"/>
      <c r="C117" s="35"/>
      <c r="D117" s="34"/>
      <c r="E117" s="34"/>
      <c r="F117" s="35"/>
    </row>
    <row r="118" customFormat="false" ht="15" hidden="false" customHeight="false" outlineLevel="0" collapsed="false">
      <c r="A118" s="33"/>
      <c r="B118" s="35"/>
      <c r="C118" s="35"/>
      <c r="D118" s="34"/>
      <c r="E118" s="34"/>
      <c r="F118" s="35"/>
    </row>
    <row r="119" customFormat="false" ht="15" hidden="false" customHeight="false" outlineLevel="0" collapsed="false">
      <c r="A119" s="33"/>
      <c r="B119" s="35"/>
      <c r="C119" s="35"/>
      <c r="D119" s="34"/>
      <c r="E119" s="34"/>
      <c r="F119" s="35"/>
    </row>
    <row r="120" customFormat="false" ht="15" hidden="false" customHeight="false" outlineLevel="0" collapsed="false">
      <c r="A120" s="33"/>
      <c r="B120" s="35"/>
      <c r="C120" s="35"/>
      <c r="D120" s="34"/>
      <c r="E120" s="34"/>
      <c r="F120" s="35"/>
    </row>
    <row r="121" customFormat="false" ht="15" hidden="false" customHeight="false" outlineLevel="0" collapsed="false">
      <c r="A121" s="33"/>
      <c r="B121" s="35"/>
      <c r="C121" s="35"/>
      <c r="D121" s="34"/>
      <c r="E121" s="34"/>
      <c r="F121" s="35"/>
    </row>
    <row r="122" customFormat="false" ht="15" hidden="false" customHeight="false" outlineLevel="0" collapsed="false">
      <c r="A122" s="33"/>
      <c r="B122" s="35"/>
      <c r="C122" s="35"/>
      <c r="D122" s="34"/>
      <c r="E122" s="34"/>
      <c r="F122" s="35"/>
    </row>
    <row r="123" customFormat="false" ht="15" hidden="false" customHeight="false" outlineLevel="0" collapsed="false">
      <c r="A123" s="33"/>
      <c r="B123" s="35"/>
      <c r="C123" s="35"/>
      <c r="D123" s="34"/>
      <c r="E123" s="34"/>
      <c r="F123" s="35"/>
    </row>
    <row r="124" customFormat="false" ht="15" hidden="false" customHeight="false" outlineLevel="0" collapsed="false">
      <c r="A124" s="33"/>
      <c r="B124" s="35"/>
      <c r="C124" s="35"/>
      <c r="D124" s="34"/>
      <c r="E124" s="34"/>
      <c r="F124" s="35"/>
    </row>
    <row r="125" customFormat="false" ht="15" hidden="false" customHeight="false" outlineLevel="0" collapsed="false">
      <c r="A125" s="33"/>
      <c r="B125" s="35"/>
      <c r="C125" s="35"/>
      <c r="D125" s="34"/>
      <c r="E125" s="34"/>
      <c r="F125" s="35"/>
    </row>
    <row r="126" customFormat="false" ht="15" hidden="false" customHeight="false" outlineLevel="0" collapsed="false">
      <c r="A126" s="33"/>
      <c r="B126" s="35"/>
      <c r="C126" s="35"/>
      <c r="D126" s="34"/>
      <c r="E126" s="34"/>
      <c r="F126" s="35"/>
    </row>
    <row r="127" customFormat="false" ht="15" hidden="false" customHeight="false" outlineLevel="0" collapsed="false">
      <c r="A127" s="33"/>
      <c r="B127" s="35"/>
      <c r="C127" s="35"/>
      <c r="D127" s="34"/>
      <c r="E127" s="34"/>
      <c r="F127" s="35"/>
    </row>
    <row r="128" customFormat="false" ht="15" hidden="false" customHeight="false" outlineLevel="0" collapsed="false">
      <c r="A128" s="33"/>
      <c r="B128" s="35"/>
      <c r="C128" s="35"/>
      <c r="D128" s="34"/>
      <c r="E128" s="34"/>
      <c r="F128" s="35"/>
    </row>
    <row r="129" customFormat="false" ht="15" hidden="false" customHeight="false" outlineLevel="0" collapsed="false">
      <c r="A129" s="33"/>
      <c r="B129" s="35"/>
      <c r="C129" s="35"/>
      <c r="D129" s="34"/>
      <c r="E129" s="34"/>
      <c r="F129" s="35"/>
    </row>
    <row r="130" customFormat="false" ht="15" hidden="false" customHeight="false" outlineLevel="0" collapsed="false">
      <c r="A130" s="33"/>
      <c r="B130" s="35"/>
      <c r="C130" s="35"/>
      <c r="D130" s="34"/>
      <c r="E130" s="34"/>
      <c r="F130" s="35"/>
    </row>
    <row r="131" customFormat="false" ht="15" hidden="false" customHeight="false" outlineLevel="0" collapsed="false">
      <c r="A131" s="33"/>
      <c r="B131" s="35"/>
      <c r="C131" s="35"/>
      <c r="D131" s="34"/>
      <c r="E131" s="34"/>
      <c r="F131" s="35"/>
    </row>
    <row r="132" customFormat="false" ht="15" hidden="false" customHeight="false" outlineLevel="0" collapsed="false">
      <c r="A132" s="33"/>
      <c r="B132" s="35"/>
      <c r="C132" s="35"/>
      <c r="D132" s="34"/>
      <c r="E132" s="34"/>
      <c r="F132" s="35"/>
    </row>
    <row r="133" customFormat="false" ht="15" hidden="false" customHeight="false" outlineLevel="0" collapsed="false">
      <c r="A133" s="33"/>
      <c r="B133" s="35"/>
      <c r="C133" s="35"/>
      <c r="D133" s="34"/>
      <c r="E133" s="34"/>
      <c r="F133" s="35"/>
    </row>
    <row r="134" customFormat="false" ht="15" hidden="false" customHeight="false" outlineLevel="0" collapsed="false">
      <c r="A134" s="33"/>
      <c r="B134" s="35"/>
      <c r="C134" s="35"/>
      <c r="D134" s="34"/>
      <c r="E134" s="34"/>
      <c r="F134" s="35"/>
    </row>
    <row r="135" customFormat="false" ht="15" hidden="false" customHeight="false" outlineLevel="0" collapsed="false">
      <c r="A135" s="33"/>
      <c r="B135" s="35"/>
      <c r="C135" s="35"/>
      <c r="D135" s="34"/>
      <c r="E135" s="34"/>
      <c r="F135" s="35"/>
    </row>
    <row r="136" customFormat="false" ht="15" hidden="false" customHeight="false" outlineLevel="0" collapsed="false">
      <c r="A136" s="33"/>
      <c r="B136" s="35"/>
      <c r="C136" s="35"/>
      <c r="D136" s="34"/>
      <c r="E136" s="34"/>
      <c r="F136" s="35"/>
    </row>
    <row r="137" customFormat="false" ht="15" hidden="false" customHeight="false" outlineLevel="0" collapsed="false">
      <c r="A137" s="33"/>
      <c r="B137" s="35"/>
      <c r="C137" s="35"/>
      <c r="D137" s="34"/>
      <c r="E137" s="34"/>
      <c r="F137" s="35"/>
    </row>
    <row r="138" customFormat="false" ht="15" hidden="false" customHeight="false" outlineLevel="0" collapsed="false">
      <c r="A138" s="33"/>
      <c r="B138" s="35"/>
      <c r="C138" s="35"/>
      <c r="D138" s="34"/>
      <c r="E138" s="34"/>
      <c r="F138" s="35"/>
    </row>
    <row r="139" customFormat="false" ht="15" hidden="false" customHeight="false" outlineLevel="0" collapsed="false">
      <c r="A139" s="33"/>
      <c r="B139" s="35"/>
      <c r="C139" s="35"/>
      <c r="D139" s="34"/>
      <c r="E139" s="34"/>
      <c r="F139" s="35"/>
    </row>
    <row r="140" customFormat="false" ht="15" hidden="false" customHeight="false" outlineLevel="0" collapsed="false">
      <c r="A140" s="33"/>
      <c r="B140" s="35"/>
      <c r="C140" s="35"/>
      <c r="D140" s="34"/>
      <c r="E140" s="34"/>
      <c r="F140" s="35"/>
    </row>
    <row r="141" customFormat="false" ht="15" hidden="false" customHeight="false" outlineLevel="0" collapsed="false">
      <c r="A141" s="33"/>
      <c r="B141" s="35"/>
      <c r="C141" s="35"/>
      <c r="D141" s="34"/>
      <c r="E141" s="34"/>
      <c r="F141" s="35"/>
    </row>
    <row r="142" customFormat="false" ht="15" hidden="false" customHeight="false" outlineLevel="0" collapsed="false">
      <c r="A142" s="33"/>
      <c r="B142" s="35"/>
      <c r="C142" s="35"/>
      <c r="D142" s="34"/>
      <c r="E142" s="34"/>
      <c r="F142" s="35"/>
    </row>
    <row r="143" customFormat="false" ht="15" hidden="false" customHeight="false" outlineLevel="0" collapsed="false">
      <c r="A143" s="33"/>
      <c r="B143" s="35"/>
      <c r="C143" s="35"/>
      <c r="D143" s="34"/>
      <c r="E143" s="34"/>
      <c r="F143" s="35"/>
    </row>
    <row r="144" customFormat="false" ht="15" hidden="false" customHeight="false" outlineLevel="0" collapsed="false">
      <c r="A144" s="33"/>
      <c r="B144" s="35"/>
      <c r="C144" s="35"/>
      <c r="D144" s="34"/>
      <c r="E144" s="34"/>
      <c r="F144" s="35"/>
    </row>
    <row r="145" customFormat="false" ht="15" hidden="false" customHeight="false" outlineLevel="0" collapsed="false">
      <c r="A145" s="33"/>
      <c r="B145" s="35"/>
      <c r="C145" s="35"/>
      <c r="D145" s="34"/>
      <c r="E145" s="34"/>
      <c r="F145" s="35"/>
    </row>
    <row r="146" customFormat="false" ht="15" hidden="false" customHeight="false" outlineLevel="0" collapsed="false">
      <c r="A146" s="33"/>
      <c r="B146" s="35"/>
      <c r="C146" s="35"/>
      <c r="D146" s="34"/>
      <c r="E146" s="34"/>
      <c r="F146" s="35"/>
    </row>
    <row r="147" customFormat="false" ht="15" hidden="false" customHeight="false" outlineLevel="0" collapsed="false">
      <c r="A147" s="33"/>
      <c r="B147" s="35"/>
      <c r="C147" s="35"/>
      <c r="D147" s="34"/>
      <c r="E147" s="34"/>
      <c r="F147" s="35"/>
    </row>
    <row r="148" customFormat="false" ht="15" hidden="false" customHeight="false" outlineLevel="0" collapsed="false">
      <c r="A148" s="33"/>
      <c r="B148" s="35"/>
      <c r="C148" s="35"/>
      <c r="D148" s="34"/>
      <c r="E148" s="34"/>
      <c r="F148" s="35"/>
    </row>
    <row r="149" customFormat="false" ht="15" hidden="false" customHeight="false" outlineLevel="0" collapsed="false">
      <c r="A149" s="33"/>
      <c r="B149" s="35"/>
      <c r="C149" s="35"/>
      <c r="D149" s="34"/>
      <c r="E149" s="34"/>
      <c r="F149" s="35"/>
    </row>
    <row r="150" customFormat="false" ht="15" hidden="false" customHeight="false" outlineLevel="0" collapsed="false">
      <c r="A150" s="33"/>
      <c r="B150" s="35"/>
      <c r="C150" s="35"/>
      <c r="D150" s="34"/>
      <c r="E150" s="34"/>
      <c r="F150" s="35"/>
    </row>
    <row r="151" customFormat="false" ht="15" hidden="false" customHeight="false" outlineLevel="0" collapsed="false">
      <c r="A151" s="33"/>
      <c r="B151" s="35"/>
      <c r="C151" s="35"/>
      <c r="D151" s="34"/>
      <c r="E151" s="34"/>
      <c r="F151" s="35"/>
    </row>
    <row r="152" customFormat="false" ht="15" hidden="false" customHeight="false" outlineLevel="0" collapsed="false">
      <c r="A152" s="33"/>
      <c r="B152" s="35"/>
      <c r="C152" s="35"/>
      <c r="D152" s="34"/>
      <c r="E152" s="34"/>
      <c r="F152" s="35"/>
    </row>
    <row r="153" customFormat="false" ht="15" hidden="false" customHeight="false" outlineLevel="0" collapsed="false">
      <c r="A153" s="33"/>
      <c r="B153" s="35"/>
      <c r="C153" s="35"/>
      <c r="D153" s="34"/>
      <c r="E153" s="34"/>
      <c r="F153" s="35"/>
    </row>
    <row r="154" customFormat="false" ht="15" hidden="false" customHeight="false" outlineLevel="0" collapsed="false">
      <c r="A154" s="33"/>
      <c r="B154" s="35"/>
      <c r="C154" s="35"/>
      <c r="D154" s="34"/>
      <c r="E154" s="34"/>
      <c r="F154" s="35"/>
    </row>
    <row r="155" customFormat="false" ht="15" hidden="false" customHeight="false" outlineLevel="0" collapsed="false">
      <c r="A155" s="33"/>
      <c r="B155" s="35"/>
      <c r="C155" s="35"/>
      <c r="D155" s="34"/>
      <c r="E155" s="34"/>
      <c r="F155" s="35"/>
    </row>
    <row r="156" customFormat="false" ht="15" hidden="false" customHeight="false" outlineLevel="0" collapsed="false">
      <c r="A156" s="33"/>
      <c r="B156" s="35"/>
      <c r="C156" s="35"/>
      <c r="D156" s="34"/>
      <c r="E156" s="34"/>
      <c r="F156" s="35"/>
    </row>
    <row r="157" customFormat="false" ht="15" hidden="false" customHeight="false" outlineLevel="0" collapsed="false">
      <c r="A157" s="33"/>
      <c r="B157" s="35"/>
      <c r="C157" s="35"/>
      <c r="D157" s="34"/>
      <c r="E157" s="34"/>
      <c r="F157" s="35"/>
    </row>
    <row r="158" customFormat="false" ht="15" hidden="false" customHeight="false" outlineLevel="0" collapsed="false">
      <c r="A158" s="33"/>
      <c r="B158" s="35"/>
      <c r="C158" s="35"/>
      <c r="D158" s="34"/>
      <c r="E158" s="34"/>
      <c r="F158" s="35"/>
    </row>
    <row r="159" customFormat="false" ht="15" hidden="false" customHeight="false" outlineLevel="0" collapsed="false">
      <c r="A159" s="33"/>
      <c r="B159" s="35"/>
      <c r="C159" s="35"/>
      <c r="D159" s="34"/>
      <c r="E159" s="34"/>
      <c r="F159" s="35"/>
    </row>
    <row r="160" customFormat="false" ht="15" hidden="false" customHeight="false" outlineLevel="0" collapsed="false">
      <c r="A160" s="33"/>
      <c r="B160" s="35"/>
      <c r="C160" s="35"/>
      <c r="D160" s="34"/>
      <c r="E160" s="34"/>
      <c r="F160" s="35"/>
    </row>
    <row r="161" customFormat="false" ht="15" hidden="false" customHeight="false" outlineLevel="0" collapsed="false">
      <c r="A161" s="33"/>
      <c r="B161" s="35"/>
      <c r="C161" s="35"/>
      <c r="D161" s="34"/>
      <c r="E161" s="34"/>
      <c r="F161" s="35"/>
    </row>
    <row r="162" customFormat="false" ht="15" hidden="false" customHeight="false" outlineLevel="0" collapsed="false">
      <c r="A162" s="33"/>
      <c r="B162" s="35"/>
      <c r="C162" s="35"/>
      <c r="D162" s="34"/>
      <c r="E162" s="34"/>
      <c r="F162" s="35"/>
    </row>
    <row r="163" customFormat="false" ht="15" hidden="false" customHeight="false" outlineLevel="0" collapsed="false">
      <c r="A163" s="33"/>
      <c r="B163" s="35"/>
      <c r="C163" s="35"/>
      <c r="D163" s="34"/>
      <c r="E163" s="34"/>
      <c r="F163" s="35"/>
    </row>
    <row r="164" customFormat="false" ht="15" hidden="false" customHeight="false" outlineLevel="0" collapsed="false">
      <c r="A164" s="33"/>
      <c r="B164" s="35"/>
      <c r="C164" s="35"/>
      <c r="D164" s="34"/>
      <c r="E164" s="34"/>
      <c r="F164" s="35"/>
    </row>
    <row r="165" customFormat="false" ht="15" hidden="false" customHeight="false" outlineLevel="0" collapsed="false">
      <c r="A165" s="33"/>
      <c r="B165" s="35"/>
      <c r="C165" s="35"/>
      <c r="D165" s="34"/>
      <c r="E165" s="34"/>
      <c r="F165" s="35"/>
    </row>
    <row r="166" customFormat="false" ht="15" hidden="false" customHeight="false" outlineLevel="0" collapsed="false">
      <c r="A166" s="33"/>
      <c r="B166" s="35"/>
      <c r="C166" s="35"/>
      <c r="D166" s="34"/>
      <c r="E166" s="34"/>
      <c r="F166" s="35"/>
    </row>
    <row r="167" customFormat="false" ht="15" hidden="false" customHeight="false" outlineLevel="0" collapsed="false">
      <c r="A167" s="33"/>
      <c r="B167" s="35"/>
      <c r="C167" s="35"/>
      <c r="D167" s="34"/>
      <c r="E167" s="34"/>
      <c r="F167" s="35"/>
    </row>
    <row r="168" customFormat="false" ht="15" hidden="false" customHeight="false" outlineLevel="0" collapsed="false">
      <c r="A168" s="33"/>
      <c r="B168" s="35"/>
      <c r="C168" s="35"/>
      <c r="D168" s="34"/>
      <c r="E168" s="34"/>
      <c r="F168" s="35"/>
    </row>
    <row r="169" customFormat="false" ht="15" hidden="false" customHeight="false" outlineLevel="0" collapsed="false">
      <c r="A169" s="33"/>
      <c r="B169" s="35"/>
      <c r="C169" s="35"/>
      <c r="D169" s="34"/>
      <c r="E169" s="34"/>
      <c r="F169" s="35"/>
    </row>
    <row r="170" customFormat="false" ht="15" hidden="false" customHeight="false" outlineLevel="0" collapsed="false">
      <c r="A170" s="33"/>
      <c r="B170" s="35"/>
      <c r="C170" s="35"/>
      <c r="D170" s="34"/>
      <c r="E170" s="34"/>
      <c r="F170" s="35"/>
    </row>
    <row r="171" customFormat="false" ht="15" hidden="false" customHeight="false" outlineLevel="0" collapsed="false">
      <c r="A171" s="33"/>
      <c r="B171" s="35"/>
      <c r="C171" s="35"/>
      <c r="D171" s="34"/>
      <c r="E171" s="34"/>
      <c r="F171" s="35"/>
    </row>
    <row r="172" customFormat="false" ht="15" hidden="false" customHeight="false" outlineLevel="0" collapsed="false">
      <c r="A172" s="33"/>
      <c r="B172" s="35"/>
      <c r="C172" s="35"/>
      <c r="D172" s="34"/>
      <c r="E172" s="34"/>
      <c r="F172" s="35"/>
    </row>
    <row r="173" customFormat="false" ht="15" hidden="false" customHeight="false" outlineLevel="0" collapsed="false">
      <c r="A173" s="33"/>
      <c r="B173" s="35"/>
      <c r="C173" s="35"/>
      <c r="D173" s="34"/>
      <c r="E173" s="34"/>
      <c r="F173" s="35"/>
    </row>
    <row r="174" customFormat="false" ht="15" hidden="false" customHeight="false" outlineLevel="0" collapsed="false">
      <c r="A174" s="33"/>
      <c r="B174" s="35"/>
      <c r="C174" s="35"/>
      <c r="D174" s="34"/>
      <c r="E174" s="34"/>
      <c r="F174" s="35"/>
    </row>
    <row r="175" customFormat="false" ht="15" hidden="false" customHeight="false" outlineLevel="0" collapsed="false">
      <c r="A175" s="33"/>
      <c r="B175" s="35"/>
      <c r="C175" s="35"/>
      <c r="D175" s="34"/>
      <c r="E175" s="34"/>
      <c r="F175" s="35"/>
    </row>
    <row r="176" customFormat="false" ht="15" hidden="false" customHeight="false" outlineLevel="0" collapsed="false">
      <c r="A176" s="33"/>
      <c r="B176" s="35"/>
      <c r="C176" s="35"/>
      <c r="D176" s="34"/>
      <c r="E176" s="34"/>
      <c r="F176" s="35"/>
    </row>
    <row r="177" customFormat="false" ht="15" hidden="false" customHeight="false" outlineLevel="0" collapsed="false">
      <c r="A177" s="33"/>
      <c r="B177" s="35"/>
      <c r="C177" s="35"/>
      <c r="D177" s="34"/>
      <c r="E177" s="34"/>
      <c r="F177" s="35"/>
    </row>
    <row r="178" customFormat="false" ht="15" hidden="false" customHeight="false" outlineLevel="0" collapsed="false">
      <c r="A178" s="33"/>
      <c r="B178" s="35"/>
      <c r="C178" s="35"/>
      <c r="D178" s="34"/>
      <c r="E178" s="34"/>
      <c r="F178" s="35"/>
    </row>
    <row r="179" customFormat="false" ht="15" hidden="false" customHeight="false" outlineLevel="0" collapsed="false">
      <c r="A179" s="33"/>
      <c r="B179" s="35"/>
      <c r="C179" s="35"/>
      <c r="D179" s="34"/>
      <c r="E179" s="34"/>
      <c r="F179" s="35"/>
    </row>
    <row r="180" customFormat="false" ht="15" hidden="false" customHeight="false" outlineLevel="0" collapsed="false">
      <c r="A180" s="33"/>
      <c r="B180" s="35"/>
      <c r="C180" s="35"/>
      <c r="D180" s="34"/>
      <c r="E180" s="34"/>
      <c r="F180" s="35"/>
    </row>
    <row r="181" customFormat="false" ht="15" hidden="false" customHeight="false" outlineLevel="0" collapsed="false">
      <c r="A181" s="33"/>
      <c r="B181" s="35"/>
      <c r="C181" s="35"/>
      <c r="D181" s="34"/>
      <c r="E181" s="34"/>
      <c r="F181" s="35"/>
    </row>
    <row r="182" customFormat="false" ht="15" hidden="false" customHeight="false" outlineLevel="0" collapsed="false">
      <c r="A182" s="33"/>
      <c r="B182" s="35"/>
      <c r="C182" s="35"/>
      <c r="D182" s="34"/>
      <c r="E182" s="34"/>
      <c r="F182" s="35"/>
    </row>
    <row r="183" customFormat="false" ht="15" hidden="false" customHeight="false" outlineLevel="0" collapsed="false">
      <c r="A183" s="33"/>
      <c r="B183" s="35"/>
      <c r="C183" s="35"/>
      <c r="D183" s="34"/>
      <c r="E183" s="34"/>
      <c r="F183" s="35"/>
    </row>
    <row r="184" customFormat="false" ht="15" hidden="false" customHeight="false" outlineLevel="0" collapsed="false">
      <c r="A184" s="33"/>
      <c r="B184" s="35"/>
      <c r="C184" s="35"/>
      <c r="D184" s="34"/>
      <c r="E184" s="34"/>
      <c r="F184" s="35"/>
    </row>
    <row r="185" customFormat="false" ht="15" hidden="false" customHeight="false" outlineLevel="0" collapsed="false">
      <c r="A185" s="33"/>
      <c r="B185" s="35"/>
      <c r="C185" s="35"/>
      <c r="D185" s="34"/>
      <c r="E185" s="34"/>
      <c r="F185" s="35"/>
    </row>
    <row r="186" customFormat="false" ht="15" hidden="false" customHeight="false" outlineLevel="0" collapsed="false">
      <c r="A186" s="33"/>
      <c r="B186" s="35"/>
      <c r="C186" s="35"/>
      <c r="D186" s="34"/>
      <c r="E186" s="34"/>
      <c r="F186" s="35"/>
    </row>
    <row r="187" customFormat="false" ht="15" hidden="false" customHeight="false" outlineLevel="0" collapsed="false">
      <c r="A187" s="33"/>
      <c r="B187" s="35"/>
      <c r="C187" s="35"/>
      <c r="D187" s="34"/>
      <c r="E187" s="34"/>
      <c r="F187" s="35"/>
    </row>
    <row r="188" customFormat="false" ht="15" hidden="false" customHeight="false" outlineLevel="0" collapsed="false">
      <c r="A188" s="33"/>
      <c r="B188" s="35"/>
      <c r="C188" s="35"/>
      <c r="D188" s="34"/>
      <c r="E188" s="34"/>
      <c r="F188" s="35"/>
    </row>
    <row r="189" customFormat="false" ht="15" hidden="false" customHeight="false" outlineLevel="0" collapsed="false">
      <c r="A189" s="33"/>
      <c r="B189" s="35"/>
      <c r="C189" s="35"/>
      <c r="D189" s="34"/>
      <c r="E189" s="34"/>
      <c r="F189" s="35"/>
    </row>
    <row r="190" customFormat="false" ht="15" hidden="false" customHeight="false" outlineLevel="0" collapsed="false">
      <c r="A190" s="33"/>
      <c r="B190" s="35"/>
      <c r="C190" s="35"/>
      <c r="D190" s="34"/>
      <c r="E190" s="34"/>
      <c r="F190" s="35"/>
    </row>
    <row r="191" customFormat="false" ht="15" hidden="false" customHeight="false" outlineLevel="0" collapsed="false">
      <c r="A191" s="33"/>
      <c r="B191" s="35"/>
      <c r="C191" s="35"/>
      <c r="D191" s="34"/>
      <c r="E191" s="34"/>
      <c r="F191" s="35"/>
    </row>
    <row r="192" customFormat="false" ht="15" hidden="false" customHeight="false" outlineLevel="0" collapsed="false">
      <c r="A192" s="33"/>
      <c r="B192" s="35"/>
      <c r="C192" s="35"/>
      <c r="D192" s="34"/>
      <c r="E192" s="34"/>
      <c r="F192" s="35"/>
    </row>
    <row r="193" customFormat="false" ht="15" hidden="false" customHeight="false" outlineLevel="0" collapsed="false">
      <c r="A193" s="33"/>
      <c r="B193" s="35"/>
      <c r="C193" s="35"/>
      <c r="D193" s="34"/>
      <c r="E193" s="34"/>
      <c r="F193" s="35"/>
    </row>
    <row r="194" customFormat="false" ht="15" hidden="false" customHeight="false" outlineLevel="0" collapsed="false">
      <c r="A194" s="33"/>
      <c r="B194" s="35"/>
      <c r="C194" s="35"/>
      <c r="D194" s="34"/>
      <c r="E194" s="34"/>
      <c r="F194" s="35"/>
    </row>
    <row r="195" customFormat="false" ht="15" hidden="false" customHeight="false" outlineLevel="0" collapsed="false">
      <c r="A195" s="33"/>
      <c r="B195" s="35"/>
      <c r="C195" s="35"/>
      <c r="D195" s="34"/>
      <c r="E195" s="34"/>
      <c r="F195" s="35"/>
    </row>
    <row r="196" customFormat="false" ht="15" hidden="false" customHeight="false" outlineLevel="0" collapsed="false">
      <c r="A196" s="33"/>
      <c r="B196" s="35"/>
      <c r="C196" s="35"/>
      <c r="D196" s="34"/>
      <c r="E196" s="34"/>
      <c r="F196" s="35"/>
    </row>
    <row r="197" customFormat="false" ht="15" hidden="false" customHeight="false" outlineLevel="0" collapsed="false">
      <c r="A197" s="33"/>
      <c r="B197" s="35"/>
      <c r="C197" s="35"/>
      <c r="D197" s="34"/>
      <c r="E197" s="34"/>
      <c r="F197" s="35"/>
    </row>
    <row r="198" customFormat="false" ht="15" hidden="false" customHeight="false" outlineLevel="0" collapsed="false">
      <c r="A198" s="33"/>
      <c r="B198" s="35"/>
      <c r="C198" s="35"/>
      <c r="D198" s="34"/>
      <c r="E198" s="34"/>
      <c r="F198" s="35"/>
    </row>
    <row r="199" customFormat="false" ht="15" hidden="false" customHeight="false" outlineLevel="0" collapsed="false">
      <c r="A199" s="33"/>
      <c r="B199" s="35"/>
      <c r="C199" s="35"/>
      <c r="D199" s="34"/>
      <c r="E199" s="34"/>
      <c r="F199" s="35"/>
    </row>
    <row r="200" customFormat="false" ht="15" hidden="false" customHeight="false" outlineLevel="0" collapsed="false">
      <c r="A200" s="33"/>
      <c r="B200" s="35"/>
      <c r="C200" s="35"/>
      <c r="D200" s="34"/>
      <c r="E200" s="34"/>
      <c r="F200" s="35"/>
    </row>
    <row r="201" customFormat="false" ht="15" hidden="false" customHeight="false" outlineLevel="0" collapsed="false">
      <c r="A201" s="33"/>
      <c r="B201" s="35"/>
      <c r="C201" s="35"/>
      <c r="D201" s="34"/>
      <c r="E201" s="34"/>
      <c r="F201" s="35"/>
    </row>
    <row r="202" customFormat="false" ht="15" hidden="false" customHeight="false" outlineLevel="0" collapsed="false">
      <c r="A202" s="33"/>
      <c r="B202" s="35"/>
      <c r="C202" s="35"/>
      <c r="D202" s="34"/>
      <c r="E202" s="34"/>
      <c r="F202" s="35"/>
    </row>
    <row r="203" customFormat="false" ht="15" hidden="false" customHeight="false" outlineLevel="0" collapsed="false">
      <c r="A203" s="33"/>
      <c r="B203" s="35"/>
      <c r="C203" s="35"/>
      <c r="D203" s="34"/>
      <c r="E203" s="34"/>
      <c r="F203" s="35"/>
    </row>
    <row r="204" customFormat="false" ht="15" hidden="false" customHeight="false" outlineLevel="0" collapsed="false">
      <c r="A204" s="33"/>
      <c r="B204" s="35"/>
      <c r="C204" s="35"/>
      <c r="D204" s="34"/>
      <c r="E204" s="34"/>
      <c r="F204" s="35"/>
    </row>
    <row r="205" customFormat="false" ht="15" hidden="false" customHeight="false" outlineLevel="0" collapsed="false">
      <c r="A205" s="33"/>
      <c r="B205" s="35"/>
      <c r="C205" s="35"/>
      <c r="D205" s="34"/>
      <c r="E205" s="34"/>
      <c r="F205" s="35"/>
    </row>
    <row r="206" customFormat="false" ht="15" hidden="false" customHeight="false" outlineLevel="0" collapsed="false">
      <c r="A206" s="33"/>
      <c r="B206" s="35"/>
      <c r="C206" s="35"/>
      <c r="D206" s="34"/>
      <c r="E206" s="34"/>
      <c r="F206" s="35"/>
    </row>
    <row r="207" customFormat="false" ht="15" hidden="false" customHeight="false" outlineLevel="0" collapsed="false">
      <c r="A207" s="33"/>
      <c r="B207" s="35"/>
      <c r="C207" s="35"/>
      <c r="D207" s="34"/>
      <c r="E207" s="34"/>
      <c r="F207" s="35"/>
    </row>
    <row r="208" customFormat="false" ht="15" hidden="false" customHeight="false" outlineLevel="0" collapsed="false">
      <c r="A208" s="33"/>
      <c r="B208" s="35"/>
      <c r="C208" s="35"/>
      <c r="D208" s="34"/>
      <c r="E208" s="34"/>
      <c r="F208" s="35"/>
    </row>
    <row r="209" customFormat="false" ht="15" hidden="false" customHeight="false" outlineLevel="0" collapsed="false">
      <c r="A209" s="33"/>
      <c r="B209" s="35"/>
      <c r="C209" s="35"/>
      <c r="D209" s="34"/>
      <c r="E209" s="34"/>
      <c r="F209" s="35"/>
    </row>
    <row r="210" customFormat="false" ht="15" hidden="false" customHeight="false" outlineLevel="0" collapsed="false">
      <c r="A210" s="33"/>
      <c r="B210" s="35"/>
      <c r="C210" s="35"/>
      <c r="D210" s="34"/>
      <c r="E210" s="34"/>
      <c r="F210" s="35"/>
    </row>
    <row r="211" customFormat="false" ht="15" hidden="false" customHeight="false" outlineLevel="0" collapsed="false">
      <c r="A211" s="33"/>
      <c r="B211" s="35"/>
      <c r="C211" s="35"/>
      <c r="D211" s="34"/>
      <c r="E211" s="34"/>
      <c r="F211" s="35"/>
    </row>
    <row r="212" customFormat="false" ht="15" hidden="false" customHeight="false" outlineLevel="0" collapsed="false">
      <c r="A212" s="33"/>
      <c r="B212" s="35"/>
      <c r="C212" s="35"/>
      <c r="D212" s="34"/>
      <c r="E212" s="34"/>
      <c r="F212" s="35"/>
    </row>
    <row r="213" customFormat="false" ht="15" hidden="false" customHeight="false" outlineLevel="0" collapsed="false">
      <c r="A213" s="33"/>
      <c r="B213" s="35"/>
      <c r="C213" s="35"/>
      <c r="D213" s="34"/>
      <c r="E213" s="34"/>
      <c r="F213" s="35"/>
    </row>
    <row r="214" customFormat="false" ht="15" hidden="false" customHeight="false" outlineLevel="0" collapsed="false">
      <c r="A214" s="33"/>
      <c r="B214" s="35"/>
      <c r="C214" s="35"/>
      <c r="D214" s="34"/>
      <c r="E214" s="34"/>
      <c r="F214" s="35"/>
    </row>
    <row r="215" customFormat="false" ht="15" hidden="false" customHeight="false" outlineLevel="0" collapsed="false">
      <c r="A215" s="33"/>
      <c r="B215" s="35"/>
      <c r="C215" s="35"/>
      <c r="D215" s="34"/>
      <c r="E215" s="34"/>
      <c r="F215" s="35"/>
    </row>
    <row r="216" customFormat="false" ht="15" hidden="false" customHeight="false" outlineLevel="0" collapsed="false">
      <c r="A216" s="33"/>
      <c r="B216" s="35"/>
      <c r="C216" s="35"/>
      <c r="D216" s="34"/>
      <c r="E216" s="34"/>
      <c r="F216" s="35"/>
    </row>
    <row r="217" customFormat="false" ht="15" hidden="false" customHeight="false" outlineLevel="0" collapsed="false">
      <c r="A217" s="33"/>
      <c r="B217" s="35"/>
      <c r="C217" s="35"/>
      <c r="D217" s="34"/>
      <c r="E217" s="34"/>
      <c r="F217" s="35"/>
    </row>
    <row r="218" customFormat="false" ht="15" hidden="false" customHeight="false" outlineLevel="0" collapsed="false">
      <c r="A218" s="33"/>
      <c r="B218" s="35"/>
      <c r="C218" s="35"/>
      <c r="D218" s="34"/>
      <c r="E218" s="34"/>
      <c r="F218" s="35"/>
    </row>
    <row r="219" customFormat="false" ht="15" hidden="false" customHeight="false" outlineLevel="0" collapsed="false">
      <c r="A219" s="33"/>
      <c r="B219" s="35"/>
      <c r="C219" s="35"/>
      <c r="D219" s="34"/>
      <c r="E219" s="34"/>
      <c r="F219" s="35"/>
    </row>
    <row r="220" customFormat="false" ht="15" hidden="false" customHeight="false" outlineLevel="0" collapsed="false">
      <c r="A220" s="33"/>
      <c r="B220" s="35"/>
      <c r="C220" s="35"/>
      <c r="D220" s="34"/>
      <c r="E220" s="34"/>
      <c r="F220" s="35"/>
    </row>
    <row r="221" customFormat="false" ht="15" hidden="false" customHeight="false" outlineLevel="0" collapsed="false">
      <c r="A221" s="33"/>
      <c r="B221" s="35"/>
      <c r="C221" s="35"/>
      <c r="D221" s="34"/>
      <c r="E221" s="34"/>
      <c r="F221" s="35"/>
    </row>
    <row r="222" customFormat="false" ht="15" hidden="false" customHeight="false" outlineLevel="0" collapsed="false">
      <c r="A222" s="33"/>
      <c r="B222" s="35"/>
      <c r="C222" s="35"/>
      <c r="D222" s="34"/>
      <c r="E222" s="34"/>
      <c r="F222" s="35"/>
    </row>
    <row r="223" customFormat="false" ht="15" hidden="false" customHeight="false" outlineLevel="0" collapsed="false">
      <c r="A223" s="33"/>
      <c r="B223" s="35"/>
      <c r="C223" s="35"/>
      <c r="D223" s="34"/>
      <c r="E223" s="34"/>
      <c r="F223" s="35"/>
    </row>
    <row r="224" customFormat="false" ht="15" hidden="false" customHeight="false" outlineLevel="0" collapsed="false">
      <c r="A224" s="33"/>
      <c r="B224" s="35"/>
      <c r="C224" s="35"/>
      <c r="D224" s="34"/>
      <c r="E224" s="34"/>
      <c r="F224" s="35"/>
    </row>
    <row r="225" customFormat="false" ht="15" hidden="false" customHeight="false" outlineLevel="0" collapsed="false">
      <c r="A225" s="33"/>
      <c r="B225" s="35"/>
      <c r="C225" s="35"/>
      <c r="D225" s="34"/>
      <c r="E225" s="34"/>
      <c r="F225" s="35"/>
    </row>
    <row r="226" customFormat="false" ht="15" hidden="false" customHeight="false" outlineLevel="0" collapsed="false">
      <c r="A226" s="33"/>
      <c r="B226" s="35"/>
      <c r="C226" s="35"/>
      <c r="D226" s="34"/>
      <c r="E226" s="34"/>
      <c r="F226" s="35"/>
    </row>
    <row r="227" customFormat="false" ht="15" hidden="false" customHeight="false" outlineLevel="0" collapsed="false">
      <c r="A227" s="33"/>
      <c r="B227" s="35"/>
      <c r="C227" s="35"/>
      <c r="D227" s="34"/>
      <c r="E227" s="34"/>
      <c r="F227" s="35"/>
    </row>
    <row r="228" customFormat="false" ht="15" hidden="false" customHeight="false" outlineLevel="0" collapsed="false">
      <c r="A228" s="33"/>
      <c r="B228" s="35"/>
      <c r="C228" s="35"/>
      <c r="D228" s="34"/>
      <c r="E228" s="34"/>
      <c r="F228" s="35"/>
    </row>
    <row r="229" customFormat="false" ht="15" hidden="false" customHeight="false" outlineLevel="0" collapsed="false">
      <c r="A229" s="33"/>
      <c r="B229" s="35"/>
      <c r="C229" s="35"/>
      <c r="D229" s="34"/>
      <c r="E229" s="34"/>
      <c r="F229" s="35"/>
    </row>
    <row r="230" customFormat="false" ht="15" hidden="false" customHeight="false" outlineLevel="0" collapsed="false">
      <c r="A230" s="33"/>
      <c r="B230" s="35"/>
      <c r="C230" s="35"/>
      <c r="D230" s="34"/>
      <c r="E230" s="34"/>
      <c r="F230" s="35"/>
    </row>
    <row r="231" customFormat="false" ht="15" hidden="false" customHeight="false" outlineLevel="0" collapsed="false">
      <c r="A231" s="33"/>
      <c r="B231" s="35"/>
      <c r="C231" s="35"/>
      <c r="D231" s="34"/>
      <c r="E231" s="34"/>
      <c r="F231" s="35"/>
    </row>
    <row r="232" customFormat="false" ht="15" hidden="false" customHeight="false" outlineLevel="0" collapsed="false">
      <c r="A232" s="33"/>
      <c r="B232" s="35"/>
      <c r="C232" s="35"/>
      <c r="D232" s="34"/>
      <c r="E232" s="34"/>
      <c r="F232" s="35"/>
    </row>
    <row r="233" customFormat="false" ht="15" hidden="false" customHeight="false" outlineLevel="0" collapsed="false">
      <c r="A233" s="33"/>
      <c r="B233" s="35"/>
      <c r="C233" s="35"/>
      <c r="D233" s="34"/>
      <c r="E233" s="34"/>
      <c r="F233" s="35"/>
    </row>
    <row r="234" customFormat="false" ht="15" hidden="false" customHeight="false" outlineLevel="0" collapsed="false">
      <c r="A234" s="33"/>
      <c r="B234" s="35"/>
      <c r="C234" s="35"/>
      <c r="D234" s="34"/>
      <c r="E234" s="34"/>
      <c r="F234" s="35"/>
    </row>
    <row r="235" customFormat="false" ht="15" hidden="false" customHeight="false" outlineLevel="0" collapsed="false">
      <c r="A235" s="33"/>
      <c r="B235" s="35"/>
      <c r="C235" s="35"/>
      <c r="D235" s="34"/>
      <c r="E235" s="34"/>
      <c r="F235" s="35"/>
    </row>
    <row r="236" customFormat="false" ht="15" hidden="false" customHeight="false" outlineLevel="0" collapsed="false">
      <c r="A236" s="33"/>
      <c r="B236" s="35"/>
      <c r="C236" s="35"/>
      <c r="D236" s="34"/>
      <c r="E236" s="34"/>
      <c r="F236" s="35"/>
    </row>
    <row r="237" customFormat="false" ht="15" hidden="false" customHeight="false" outlineLevel="0" collapsed="false">
      <c r="A237" s="33"/>
      <c r="B237" s="35"/>
      <c r="C237" s="35"/>
      <c r="D237" s="34"/>
      <c r="E237" s="34"/>
      <c r="F237" s="35"/>
    </row>
    <row r="238" customFormat="false" ht="15" hidden="false" customHeight="false" outlineLevel="0" collapsed="false">
      <c r="A238" s="33"/>
      <c r="B238" s="35"/>
      <c r="C238" s="35"/>
      <c r="D238" s="34"/>
      <c r="E238" s="34"/>
      <c r="F238" s="35"/>
    </row>
    <row r="239" customFormat="false" ht="15" hidden="false" customHeight="false" outlineLevel="0" collapsed="false">
      <c r="A239" s="33"/>
      <c r="B239" s="35"/>
      <c r="C239" s="35"/>
      <c r="D239" s="34"/>
      <c r="E239" s="34"/>
      <c r="F239" s="35"/>
    </row>
    <row r="240" customFormat="false" ht="15" hidden="false" customHeight="false" outlineLevel="0" collapsed="false">
      <c r="A240" s="33"/>
      <c r="B240" s="35"/>
      <c r="C240" s="35"/>
      <c r="D240" s="34"/>
      <c r="E240" s="34"/>
      <c r="F240" s="35"/>
    </row>
    <row r="241" customFormat="false" ht="15" hidden="false" customHeight="false" outlineLevel="0" collapsed="false">
      <c r="A241" s="33"/>
      <c r="B241" s="35"/>
      <c r="C241" s="35"/>
      <c r="D241" s="34"/>
      <c r="E241" s="34"/>
      <c r="F241" s="35"/>
    </row>
    <row r="242" customFormat="false" ht="15" hidden="false" customHeight="false" outlineLevel="0" collapsed="false">
      <c r="A242" s="33"/>
      <c r="B242" s="35"/>
      <c r="C242" s="35"/>
      <c r="D242" s="34"/>
      <c r="E242" s="34"/>
      <c r="F242" s="35"/>
    </row>
    <row r="243" customFormat="false" ht="15" hidden="false" customHeight="false" outlineLevel="0" collapsed="false">
      <c r="A243" s="33"/>
      <c r="B243" s="35"/>
      <c r="C243" s="35"/>
      <c r="D243" s="34"/>
      <c r="E243" s="34"/>
      <c r="F243" s="35"/>
    </row>
    <row r="244" customFormat="false" ht="15" hidden="false" customHeight="false" outlineLevel="0" collapsed="false">
      <c r="A244" s="33"/>
      <c r="B244" s="35"/>
      <c r="C244" s="35"/>
      <c r="D244" s="34"/>
      <c r="E244" s="34"/>
      <c r="F244" s="35"/>
    </row>
    <row r="245" customFormat="false" ht="15" hidden="false" customHeight="false" outlineLevel="0" collapsed="false">
      <c r="A245" s="33"/>
      <c r="B245" s="35"/>
      <c r="C245" s="35"/>
      <c r="D245" s="34"/>
      <c r="E245" s="34"/>
      <c r="F245" s="35"/>
    </row>
    <row r="246" customFormat="false" ht="15" hidden="false" customHeight="false" outlineLevel="0" collapsed="false">
      <c r="A246" s="33"/>
      <c r="B246" s="35"/>
      <c r="C246" s="35"/>
      <c r="D246" s="34"/>
      <c r="E246" s="34"/>
      <c r="F246" s="35"/>
    </row>
    <row r="247" customFormat="false" ht="15" hidden="false" customHeight="false" outlineLevel="0" collapsed="false">
      <c r="A247" s="33"/>
      <c r="B247" s="35"/>
      <c r="C247" s="35"/>
      <c r="D247" s="34"/>
      <c r="E247" s="34"/>
      <c r="F247" s="35"/>
    </row>
    <row r="248" customFormat="false" ht="15" hidden="false" customHeight="false" outlineLevel="0" collapsed="false">
      <c r="A248" s="33"/>
      <c r="B248" s="35"/>
      <c r="C248" s="35"/>
      <c r="D248" s="34"/>
      <c r="E248" s="34"/>
      <c r="F248" s="35"/>
    </row>
    <row r="249" customFormat="false" ht="15" hidden="false" customHeight="false" outlineLevel="0" collapsed="false">
      <c r="A249" s="33"/>
      <c r="B249" s="35"/>
      <c r="C249" s="35"/>
      <c r="D249" s="34"/>
      <c r="E249" s="34"/>
      <c r="F249" s="35"/>
    </row>
    <row r="250" customFormat="false" ht="15" hidden="false" customHeight="false" outlineLevel="0" collapsed="false">
      <c r="A250" s="33"/>
      <c r="B250" s="35"/>
      <c r="C250" s="35"/>
      <c r="D250" s="34"/>
      <c r="E250" s="34"/>
      <c r="F250" s="35"/>
    </row>
    <row r="251" customFormat="false" ht="15" hidden="false" customHeight="false" outlineLevel="0" collapsed="false">
      <c r="A251" s="33"/>
      <c r="B251" s="35"/>
      <c r="C251" s="35"/>
      <c r="D251" s="34"/>
      <c r="E251" s="34"/>
      <c r="F251" s="35"/>
    </row>
    <row r="252" customFormat="false" ht="15" hidden="false" customHeight="false" outlineLevel="0" collapsed="false">
      <c r="A252" s="33"/>
      <c r="B252" s="35"/>
      <c r="C252" s="35"/>
      <c r="D252" s="34"/>
      <c r="E252" s="34"/>
      <c r="F252" s="35"/>
    </row>
    <row r="253" customFormat="false" ht="15" hidden="false" customHeight="false" outlineLevel="0" collapsed="false">
      <c r="A253" s="33"/>
      <c r="B253" s="35"/>
      <c r="C253" s="35"/>
      <c r="D253" s="34"/>
      <c r="E253" s="34"/>
      <c r="F253" s="35"/>
    </row>
    <row r="254" customFormat="false" ht="15" hidden="false" customHeight="false" outlineLevel="0" collapsed="false">
      <c r="A254" s="33"/>
      <c r="B254" s="35"/>
      <c r="C254" s="35"/>
      <c r="D254" s="34"/>
      <c r="E254" s="34"/>
      <c r="F254" s="35"/>
    </row>
    <row r="255" customFormat="false" ht="15" hidden="false" customHeight="false" outlineLevel="0" collapsed="false">
      <c r="A255" s="33"/>
      <c r="B255" s="35"/>
      <c r="C255" s="35"/>
      <c r="D255" s="34"/>
      <c r="E255" s="34"/>
      <c r="F255" s="35"/>
    </row>
    <row r="256" customFormat="false" ht="15" hidden="false" customHeight="false" outlineLevel="0" collapsed="false">
      <c r="A256" s="33"/>
      <c r="B256" s="35"/>
      <c r="C256" s="35"/>
      <c r="D256" s="34"/>
      <c r="E256" s="34"/>
      <c r="F256" s="35"/>
    </row>
    <row r="257" customFormat="false" ht="15" hidden="false" customHeight="false" outlineLevel="0" collapsed="false">
      <c r="A257" s="33"/>
      <c r="B257" s="35"/>
      <c r="C257" s="35"/>
      <c r="D257" s="34"/>
      <c r="E257" s="34"/>
      <c r="F257" s="35"/>
    </row>
    <row r="258" customFormat="false" ht="15" hidden="false" customHeight="false" outlineLevel="0" collapsed="false">
      <c r="A258" s="33"/>
      <c r="B258" s="35"/>
      <c r="C258" s="35"/>
      <c r="D258" s="34"/>
      <c r="E258" s="34"/>
      <c r="F258" s="35"/>
    </row>
    <row r="259" customFormat="false" ht="15" hidden="false" customHeight="false" outlineLevel="0" collapsed="false">
      <c r="A259" s="33"/>
      <c r="B259" s="35"/>
      <c r="C259" s="35"/>
      <c r="D259" s="34"/>
      <c r="E259" s="34"/>
      <c r="F259" s="35"/>
    </row>
    <row r="260" customFormat="false" ht="15" hidden="false" customHeight="false" outlineLevel="0" collapsed="false">
      <c r="A260" s="33"/>
      <c r="B260" s="35"/>
      <c r="C260" s="35"/>
      <c r="D260" s="34"/>
      <c r="E260" s="34"/>
      <c r="F260" s="35"/>
    </row>
    <row r="261" customFormat="false" ht="15" hidden="false" customHeight="false" outlineLevel="0" collapsed="false">
      <c r="A261" s="33"/>
      <c r="B261" s="35"/>
      <c r="C261" s="35"/>
      <c r="D261" s="34"/>
      <c r="E261" s="34"/>
      <c r="F261" s="35"/>
    </row>
    <row r="262" customFormat="false" ht="15" hidden="false" customHeight="false" outlineLevel="0" collapsed="false">
      <c r="A262" s="33"/>
      <c r="B262" s="35"/>
      <c r="C262" s="35"/>
      <c r="D262" s="34"/>
      <c r="E262" s="34"/>
      <c r="F262" s="35"/>
    </row>
    <row r="263" customFormat="false" ht="15" hidden="false" customHeight="false" outlineLevel="0" collapsed="false">
      <c r="A263" s="33"/>
      <c r="B263" s="35"/>
      <c r="C263" s="35"/>
      <c r="D263" s="34"/>
      <c r="E263" s="34"/>
      <c r="F263" s="35"/>
    </row>
    <row r="264" customFormat="false" ht="15" hidden="false" customHeight="false" outlineLevel="0" collapsed="false">
      <c r="A264" s="33"/>
      <c r="B264" s="35"/>
      <c r="C264" s="35"/>
      <c r="D264" s="34"/>
      <c r="E264" s="34"/>
      <c r="F264" s="35"/>
    </row>
    <row r="265" customFormat="false" ht="15" hidden="false" customHeight="false" outlineLevel="0" collapsed="false">
      <c r="A265" s="33"/>
      <c r="B265" s="35"/>
      <c r="C265" s="35"/>
      <c r="D265" s="34"/>
      <c r="E265" s="34"/>
      <c r="F265" s="35"/>
    </row>
    <row r="266" customFormat="false" ht="15" hidden="false" customHeight="false" outlineLevel="0" collapsed="false">
      <c r="A266" s="33"/>
      <c r="B266" s="35"/>
      <c r="C266" s="35"/>
      <c r="D266" s="34"/>
      <c r="E266" s="34"/>
      <c r="F266" s="35"/>
    </row>
    <row r="267" customFormat="false" ht="15" hidden="false" customHeight="false" outlineLevel="0" collapsed="false">
      <c r="A267" s="33"/>
      <c r="B267" s="35"/>
      <c r="C267" s="35"/>
      <c r="D267" s="34"/>
      <c r="E267" s="34"/>
      <c r="F267" s="35"/>
    </row>
    <row r="268" customFormat="false" ht="15" hidden="false" customHeight="false" outlineLevel="0" collapsed="false">
      <c r="A268" s="33"/>
      <c r="B268" s="35"/>
      <c r="C268" s="35"/>
      <c r="D268" s="34"/>
      <c r="E268" s="34"/>
      <c r="F268" s="35"/>
    </row>
    <row r="269" customFormat="false" ht="15" hidden="false" customHeight="false" outlineLevel="0" collapsed="false">
      <c r="A269" s="33"/>
      <c r="B269" s="35"/>
      <c r="C269" s="35"/>
      <c r="D269" s="34"/>
      <c r="E269" s="34"/>
      <c r="F269" s="35"/>
    </row>
    <row r="270" customFormat="false" ht="15" hidden="false" customHeight="false" outlineLevel="0" collapsed="false">
      <c r="A270" s="33"/>
      <c r="B270" s="35"/>
      <c r="C270" s="35"/>
      <c r="D270" s="34"/>
      <c r="E270" s="34"/>
      <c r="F270" s="35"/>
    </row>
    <row r="271" customFormat="false" ht="15" hidden="false" customHeight="false" outlineLevel="0" collapsed="false">
      <c r="A271" s="33"/>
      <c r="B271" s="35"/>
      <c r="C271" s="35"/>
      <c r="D271" s="34"/>
      <c r="E271" s="34"/>
      <c r="F271" s="35"/>
    </row>
    <row r="272" customFormat="false" ht="15" hidden="false" customHeight="false" outlineLevel="0" collapsed="false">
      <c r="A272" s="33"/>
      <c r="B272" s="35"/>
      <c r="C272" s="35"/>
      <c r="D272" s="34"/>
      <c r="E272" s="34"/>
      <c r="F272" s="35"/>
    </row>
    <row r="273" customFormat="false" ht="15" hidden="false" customHeight="false" outlineLevel="0" collapsed="false">
      <c r="A273" s="33"/>
      <c r="B273" s="35"/>
      <c r="C273" s="35"/>
      <c r="D273" s="34"/>
      <c r="E273" s="34"/>
      <c r="F273" s="35"/>
    </row>
    <row r="274" customFormat="false" ht="15" hidden="false" customHeight="false" outlineLevel="0" collapsed="false">
      <c r="A274" s="33"/>
      <c r="B274" s="35"/>
      <c r="C274" s="35"/>
      <c r="D274" s="34"/>
      <c r="E274" s="34"/>
      <c r="F274" s="35"/>
    </row>
    <row r="275" customFormat="false" ht="15" hidden="false" customHeight="false" outlineLevel="0" collapsed="false">
      <c r="A275" s="33"/>
      <c r="B275" s="35"/>
      <c r="C275" s="35"/>
      <c r="D275" s="34"/>
      <c r="E275" s="34"/>
      <c r="F275" s="35"/>
    </row>
    <row r="276" customFormat="false" ht="15" hidden="false" customHeight="false" outlineLevel="0" collapsed="false">
      <c r="A276" s="33"/>
      <c r="B276" s="35"/>
      <c r="C276" s="35"/>
      <c r="D276" s="34"/>
      <c r="E276" s="34"/>
      <c r="F276" s="35"/>
    </row>
    <row r="277" customFormat="false" ht="15" hidden="false" customHeight="false" outlineLevel="0" collapsed="false">
      <c r="A277" s="33"/>
      <c r="B277" s="35"/>
      <c r="C277" s="35"/>
      <c r="D277" s="34"/>
      <c r="E277" s="34"/>
      <c r="F277" s="35"/>
    </row>
    <row r="278" customFormat="false" ht="15" hidden="false" customHeight="false" outlineLevel="0" collapsed="false">
      <c r="A278" s="33"/>
      <c r="B278" s="35"/>
      <c r="C278" s="35"/>
      <c r="D278" s="34"/>
      <c r="E278" s="34"/>
      <c r="F278" s="35"/>
    </row>
    <row r="279" customFormat="false" ht="15" hidden="false" customHeight="false" outlineLevel="0" collapsed="false">
      <c r="A279" s="33"/>
      <c r="B279" s="35"/>
      <c r="C279" s="35"/>
      <c r="D279" s="34"/>
      <c r="E279" s="34"/>
      <c r="F279" s="35"/>
    </row>
    <row r="280" customFormat="false" ht="15" hidden="false" customHeight="false" outlineLevel="0" collapsed="false">
      <c r="A280" s="33"/>
      <c r="B280" s="35"/>
      <c r="C280" s="35"/>
      <c r="D280" s="34"/>
      <c r="E280" s="34"/>
      <c r="F280" s="35"/>
    </row>
    <row r="281" customFormat="false" ht="15" hidden="false" customHeight="false" outlineLevel="0" collapsed="false">
      <c r="A281" s="33"/>
      <c r="B281" s="35"/>
      <c r="C281" s="35"/>
      <c r="D281" s="34"/>
      <c r="E281" s="34"/>
      <c r="F281" s="35"/>
    </row>
    <row r="282" customFormat="false" ht="15" hidden="false" customHeight="false" outlineLevel="0" collapsed="false">
      <c r="A282" s="33"/>
      <c r="B282" s="35"/>
      <c r="C282" s="35"/>
      <c r="D282" s="34"/>
      <c r="E282" s="34"/>
      <c r="F282" s="35"/>
    </row>
    <row r="283" customFormat="false" ht="15" hidden="false" customHeight="false" outlineLevel="0" collapsed="false">
      <c r="A283" s="33"/>
      <c r="B283" s="35"/>
      <c r="C283" s="35"/>
      <c r="D283" s="34"/>
      <c r="E283" s="34"/>
      <c r="F283" s="35"/>
    </row>
    <row r="284" customFormat="false" ht="15" hidden="false" customHeight="false" outlineLevel="0" collapsed="false">
      <c r="A284" s="33"/>
      <c r="B284" s="35"/>
      <c r="C284" s="35"/>
      <c r="D284" s="34"/>
      <c r="E284" s="34"/>
      <c r="F284" s="35"/>
    </row>
    <row r="285" customFormat="false" ht="15" hidden="false" customHeight="false" outlineLevel="0" collapsed="false">
      <c r="A285" s="33"/>
      <c r="B285" s="35"/>
      <c r="C285" s="35"/>
      <c r="D285" s="34"/>
      <c r="E285" s="34"/>
      <c r="F285" s="35"/>
    </row>
    <row r="286" customFormat="false" ht="15" hidden="false" customHeight="false" outlineLevel="0" collapsed="false">
      <c r="A286" s="33"/>
      <c r="B286" s="35"/>
      <c r="C286" s="35"/>
      <c r="D286" s="34"/>
      <c r="E286" s="34"/>
      <c r="F286" s="35"/>
    </row>
    <row r="287" customFormat="false" ht="15" hidden="false" customHeight="false" outlineLevel="0" collapsed="false">
      <c r="A287" s="33"/>
      <c r="B287" s="35"/>
      <c r="C287" s="35"/>
      <c r="D287" s="34"/>
      <c r="E287" s="34"/>
      <c r="F287" s="35"/>
    </row>
    <row r="288" customFormat="false" ht="15" hidden="false" customHeight="false" outlineLevel="0" collapsed="false">
      <c r="A288" s="33"/>
      <c r="B288" s="35"/>
      <c r="C288" s="35"/>
      <c r="D288" s="34"/>
      <c r="E288" s="34"/>
      <c r="F288" s="35"/>
    </row>
    <row r="289" customFormat="false" ht="15" hidden="false" customHeight="false" outlineLevel="0" collapsed="false">
      <c r="A289" s="33"/>
      <c r="B289" s="35"/>
      <c r="C289" s="35"/>
      <c r="D289" s="34"/>
      <c r="E289" s="34"/>
      <c r="F289" s="35"/>
    </row>
    <row r="290" customFormat="false" ht="15" hidden="false" customHeight="false" outlineLevel="0" collapsed="false">
      <c r="A290" s="33"/>
      <c r="B290" s="35"/>
      <c r="C290" s="35"/>
      <c r="D290" s="34"/>
      <c r="E290" s="34"/>
      <c r="F290" s="35"/>
    </row>
    <row r="291" customFormat="false" ht="15" hidden="false" customHeight="false" outlineLevel="0" collapsed="false">
      <c r="A291" s="33"/>
      <c r="B291" s="35"/>
      <c r="C291" s="35"/>
      <c r="D291" s="34"/>
      <c r="E291" s="34"/>
      <c r="F291" s="35"/>
    </row>
    <row r="292" customFormat="false" ht="15" hidden="false" customHeight="false" outlineLevel="0" collapsed="false">
      <c r="A292" s="33"/>
      <c r="B292" s="35"/>
      <c r="C292" s="35"/>
      <c r="D292" s="34"/>
      <c r="E292" s="34"/>
      <c r="F292" s="35"/>
    </row>
    <row r="293" customFormat="false" ht="15" hidden="false" customHeight="false" outlineLevel="0" collapsed="false">
      <c r="A293" s="33"/>
      <c r="B293" s="35"/>
      <c r="C293" s="35"/>
      <c r="D293" s="34"/>
      <c r="E293" s="34"/>
      <c r="F293" s="35"/>
    </row>
    <row r="294" customFormat="false" ht="15" hidden="false" customHeight="false" outlineLevel="0" collapsed="false">
      <c r="A294" s="33"/>
      <c r="B294" s="35"/>
      <c r="C294" s="35"/>
      <c r="D294" s="34"/>
      <c r="E294" s="34"/>
      <c r="F294" s="35"/>
    </row>
    <row r="295" customFormat="false" ht="15" hidden="false" customHeight="false" outlineLevel="0" collapsed="false">
      <c r="A295" s="33"/>
      <c r="B295" s="35"/>
      <c r="C295" s="35"/>
      <c r="D295" s="34"/>
      <c r="E295" s="34"/>
      <c r="F295" s="35"/>
    </row>
    <row r="296" customFormat="false" ht="15" hidden="false" customHeight="false" outlineLevel="0" collapsed="false">
      <c r="A296" s="33"/>
      <c r="B296" s="35"/>
      <c r="C296" s="35"/>
      <c r="D296" s="34"/>
      <c r="E296" s="34"/>
      <c r="F296" s="35"/>
    </row>
    <row r="297" customFormat="false" ht="15" hidden="false" customHeight="false" outlineLevel="0" collapsed="false">
      <c r="A297" s="33"/>
      <c r="B297" s="35"/>
      <c r="C297" s="35"/>
      <c r="D297" s="34"/>
      <c r="E297" s="34"/>
      <c r="F297" s="35"/>
    </row>
    <row r="298" customFormat="false" ht="15" hidden="false" customHeight="false" outlineLevel="0" collapsed="false">
      <c r="A298" s="33"/>
      <c r="B298" s="35"/>
      <c r="C298" s="35"/>
      <c r="D298" s="34"/>
      <c r="E298" s="34"/>
      <c r="F298" s="35"/>
    </row>
    <row r="299" customFormat="false" ht="15" hidden="false" customHeight="false" outlineLevel="0" collapsed="false">
      <c r="A299" s="33"/>
      <c r="B299" s="35"/>
      <c r="C299" s="35"/>
      <c r="D299" s="34"/>
      <c r="E299" s="34"/>
      <c r="F299" s="35"/>
    </row>
    <row r="300" customFormat="false" ht="15" hidden="false" customHeight="false" outlineLevel="0" collapsed="false">
      <c r="A300" s="33"/>
      <c r="B300" s="35"/>
      <c r="C300" s="35"/>
      <c r="D300" s="34"/>
      <c r="E300" s="34"/>
      <c r="F300" s="35"/>
    </row>
    <row r="301" customFormat="false" ht="15" hidden="false" customHeight="false" outlineLevel="0" collapsed="false">
      <c r="A301" s="33"/>
      <c r="B301" s="35"/>
      <c r="C301" s="35"/>
      <c r="D301" s="34"/>
      <c r="E301" s="34"/>
      <c r="F301" s="35"/>
    </row>
    <row r="302" customFormat="false" ht="15" hidden="false" customHeight="false" outlineLevel="0" collapsed="false">
      <c r="A302" s="33"/>
      <c r="B302" s="35"/>
      <c r="C302" s="35"/>
      <c r="D302" s="34"/>
      <c r="E302" s="34"/>
      <c r="F302" s="35"/>
    </row>
    <row r="303" customFormat="false" ht="15" hidden="false" customHeight="false" outlineLevel="0" collapsed="false">
      <c r="A303" s="33"/>
      <c r="B303" s="35"/>
      <c r="C303" s="35"/>
      <c r="D303" s="34"/>
      <c r="E303" s="34"/>
      <c r="F303" s="35"/>
    </row>
    <row r="304" customFormat="false" ht="15" hidden="false" customHeight="false" outlineLevel="0" collapsed="false">
      <c r="A304" s="33"/>
      <c r="B304" s="35"/>
      <c r="C304" s="35"/>
      <c r="D304" s="34"/>
      <c r="E304" s="34"/>
      <c r="F304" s="35"/>
    </row>
    <row r="305" customFormat="false" ht="15" hidden="false" customHeight="false" outlineLevel="0" collapsed="false">
      <c r="A305" s="33"/>
      <c r="B305" s="35"/>
      <c r="C305" s="35"/>
      <c r="D305" s="34"/>
      <c r="E305" s="34"/>
      <c r="F305" s="35"/>
    </row>
    <row r="306" customFormat="false" ht="15" hidden="false" customHeight="false" outlineLevel="0" collapsed="false">
      <c r="A306" s="33"/>
      <c r="B306" s="35"/>
      <c r="C306" s="35"/>
      <c r="D306" s="34"/>
      <c r="E306" s="34"/>
      <c r="F306" s="35"/>
    </row>
    <row r="307" customFormat="false" ht="15" hidden="false" customHeight="false" outlineLevel="0" collapsed="false">
      <c r="A307" s="33"/>
      <c r="B307" s="35"/>
      <c r="C307" s="35"/>
      <c r="D307" s="34"/>
      <c r="E307" s="34"/>
      <c r="F307" s="35"/>
    </row>
    <row r="308" customFormat="false" ht="15" hidden="false" customHeight="false" outlineLevel="0" collapsed="false">
      <c r="A308" s="33"/>
      <c r="B308" s="35"/>
      <c r="C308" s="35"/>
      <c r="D308" s="34"/>
      <c r="E308" s="34"/>
      <c r="F308" s="35"/>
    </row>
    <row r="309" customFormat="false" ht="15" hidden="false" customHeight="false" outlineLevel="0" collapsed="false">
      <c r="A309" s="33"/>
      <c r="B309" s="35"/>
      <c r="C309" s="35"/>
      <c r="D309" s="34"/>
      <c r="E309" s="34"/>
      <c r="F309" s="35"/>
    </row>
    <row r="310" customFormat="false" ht="15" hidden="false" customHeight="false" outlineLevel="0" collapsed="false">
      <c r="A310" s="33"/>
      <c r="B310" s="35"/>
      <c r="C310" s="35"/>
      <c r="D310" s="34"/>
      <c r="E310" s="34"/>
      <c r="F310" s="35"/>
    </row>
    <row r="311" customFormat="false" ht="15" hidden="false" customHeight="false" outlineLevel="0" collapsed="false">
      <c r="A311" s="33"/>
      <c r="B311" s="35"/>
      <c r="C311" s="35"/>
      <c r="D311" s="34"/>
      <c r="E311" s="34"/>
      <c r="F311" s="35"/>
    </row>
    <row r="312" customFormat="false" ht="15" hidden="false" customHeight="false" outlineLevel="0" collapsed="false">
      <c r="A312" s="33"/>
      <c r="B312" s="35"/>
      <c r="C312" s="35"/>
      <c r="D312" s="34"/>
      <c r="E312" s="34"/>
      <c r="F312" s="35"/>
    </row>
    <row r="313" customFormat="false" ht="15" hidden="false" customHeight="false" outlineLevel="0" collapsed="false">
      <c r="A313" s="33"/>
      <c r="B313" s="35"/>
      <c r="C313" s="35"/>
      <c r="D313" s="34"/>
      <c r="E313" s="34"/>
      <c r="F313" s="35"/>
    </row>
    <row r="314" customFormat="false" ht="15" hidden="false" customHeight="false" outlineLevel="0" collapsed="false">
      <c r="A314" s="33"/>
      <c r="B314" s="35"/>
      <c r="C314" s="35"/>
      <c r="D314" s="34"/>
      <c r="E314" s="34"/>
      <c r="F314" s="35"/>
    </row>
    <row r="315" customFormat="false" ht="15" hidden="false" customHeight="false" outlineLevel="0" collapsed="false">
      <c r="A315" s="33"/>
      <c r="B315" s="35"/>
      <c r="C315" s="35"/>
      <c r="D315" s="34"/>
      <c r="E315" s="34"/>
      <c r="F315" s="35"/>
    </row>
    <row r="316" customFormat="false" ht="15" hidden="false" customHeight="false" outlineLevel="0" collapsed="false">
      <c r="A316" s="33"/>
      <c r="B316" s="35"/>
      <c r="C316" s="35"/>
      <c r="D316" s="34"/>
      <c r="E316" s="34"/>
      <c r="F316" s="35"/>
    </row>
    <row r="317" customFormat="false" ht="15" hidden="false" customHeight="false" outlineLevel="0" collapsed="false">
      <c r="A317" s="33"/>
      <c r="B317" s="35"/>
      <c r="C317" s="35"/>
      <c r="D317" s="34"/>
      <c r="E317" s="34"/>
      <c r="F317" s="35"/>
    </row>
    <row r="318" customFormat="false" ht="15" hidden="false" customHeight="false" outlineLevel="0" collapsed="false">
      <c r="A318" s="33"/>
      <c r="B318" s="35"/>
      <c r="C318" s="35"/>
      <c r="D318" s="34"/>
      <c r="E318" s="34"/>
      <c r="F318" s="35"/>
    </row>
    <row r="319" customFormat="false" ht="15" hidden="false" customHeight="false" outlineLevel="0" collapsed="false">
      <c r="A319" s="33"/>
      <c r="B319" s="35"/>
      <c r="C319" s="35"/>
      <c r="D319" s="34"/>
      <c r="E319" s="34"/>
      <c r="F319" s="35"/>
    </row>
    <row r="320" customFormat="false" ht="15" hidden="false" customHeight="false" outlineLevel="0" collapsed="false">
      <c r="A320" s="33"/>
      <c r="B320" s="35"/>
      <c r="C320" s="35"/>
      <c r="D320" s="34"/>
      <c r="E320" s="34"/>
      <c r="F320" s="35"/>
    </row>
    <row r="321" customFormat="false" ht="15" hidden="false" customHeight="false" outlineLevel="0" collapsed="false">
      <c r="A321" s="33"/>
      <c r="B321" s="35"/>
      <c r="C321" s="35"/>
      <c r="D321" s="34"/>
      <c r="E321" s="34"/>
      <c r="F321" s="35"/>
    </row>
    <row r="322" customFormat="false" ht="15" hidden="false" customHeight="false" outlineLevel="0" collapsed="false">
      <c r="A322" s="33"/>
      <c r="B322" s="35"/>
      <c r="C322" s="35"/>
      <c r="D322" s="34"/>
      <c r="E322" s="34"/>
      <c r="F322" s="35"/>
    </row>
    <row r="323" customFormat="false" ht="15" hidden="false" customHeight="false" outlineLevel="0" collapsed="false">
      <c r="A323" s="33"/>
      <c r="B323" s="35"/>
      <c r="C323" s="35"/>
      <c r="D323" s="34"/>
      <c r="E323" s="34"/>
      <c r="F323" s="35"/>
    </row>
    <row r="324" customFormat="false" ht="15" hidden="false" customHeight="false" outlineLevel="0" collapsed="false">
      <c r="A324" s="33"/>
      <c r="B324" s="35"/>
      <c r="C324" s="35"/>
      <c r="D324" s="34"/>
      <c r="E324" s="34"/>
      <c r="F324" s="35"/>
    </row>
    <row r="325" customFormat="false" ht="15" hidden="false" customHeight="false" outlineLevel="0" collapsed="false">
      <c r="A325" s="33"/>
      <c r="B325" s="35"/>
      <c r="C325" s="35"/>
      <c r="D325" s="34"/>
      <c r="E325" s="34"/>
      <c r="F325" s="35"/>
    </row>
    <row r="326" customFormat="false" ht="15" hidden="false" customHeight="false" outlineLevel="0" collapsed="false">
      <c r="A326" s="33"/>
      <c r="B326" s="35"/>
      <c r="C326" s="35"/>
      <c r="D326" s="34"/>
      <c r="E326" s="34"/>
      <c r="F326" s="35"/>
    </row>
    <row r="327" customFormat="false" ht="15" hidden="false" customHeight="false" outlineLevel="0" collapsed="false">
      <c r="A327" s="33"/>
      <c r="B327" s="35"/>
      <c r="C327" s="35"/>
      <c r="D327" s="34"/>
      <c r="E327" s="34"/>
      <c r="F327" s="35"/>
    </row>
    <row r="328" customFormat="false" ht="15" hidden="false" customHeight="false" outlineLevel="0" collapsed="false">
      <c r="A328" s="33"/>
      <c r="B328" s="35"/>
      <c r="C328" s="35"/>
      <c r="D328" s="34"/>
      <c r="E328" s="34"/>
      <c r="F328" s="35"/>
    </row>
    <row r="329" customFormat="false" ht="15" hidden="false" customHeight="false" outlineLevel="0" collapsed="false">
      <c r="A329" s="33"/>
      <c r="B329" s="35"/>
      <c r="C329" s="35"/>
      <c r="D329" s="34"/>
      <c r="E329" s="34"/>
      <c r="F329" s="35"/>
    </row>
    <row r="330" customFormat="false" ht="15" hidden="false" customHeight="false" outlineLevel="0" collapsed="false">
      <c r="A330" s="33"/>
      <c r="B330" s="35"/>
      <c r="C330" s="35"/>
      <c r="D330" s="34"/>
      <c r="E330" s="34"/>
      <c r="F330" s="35"/>
    </row>
    <row r="331" customFormat="false" ht="15" hidden="false" customHeight="false" outlineLevel="0" collapsed="false">
      <c r="A331" s="33"/>
      <c r="B331" s="35"/>
      <c r="C331" s="35"/>
      <c r="D331" s="34"/>
      <c r="E331" s="34"/>
      <c r="F331" s="35"/>
    </row>
    <row r="332" customFormat="false" ht="15" hidden="false" customHeight="false" outlineLevel="0" collapsed="false">
      <c r="A332" s="33"/>
      <c r="B332" s="35"/>
      <c r="C332" s="35"/>
      <c r="D332" s="34"/>
      <c r="E332" s="34"/>
      <c r="F332" s="35"/>
    </row>
    <row r="333" customFormat="false" ht="15" hidden="false" customHeight="false" outlineLevel="0" collapsed="false">
      <c r="A333" s="33"/>
      <c r="B333" s="35"/>
      <c r="C333" s="35"/>
      <c r="D333" s="34"/>
      <c r="E333" s="34"/>
      <c r="F333" s="35"/>
    </row>
    <row r="334" customFormat="false" ht="15" hidden="false" customHeight="false" outlineLevel="0" collapsed="false">
      <c r="A334" s="33"/>
      <c r="B334" s="35"/>
      <c r="C334" s="35"/>
      <c r="D334" s="34"/>
      <c r="E334" s="34"/>
      <c r="F334" s="35"/>
    </row>
    <row r="335" customFormat="false" ht="15" hidden="false" customHeight="false" outlineLevel="0" collapsed="false">
      <c r="A335" s="33"/>
      <c r="B335" s="35"/>
      <c r="C335" s="35"/>
      <c r="D335" s="34"/>
      <c r="E335" s="34"/>
      <c r="F335" s="35"/>
    </row>
    <row r="336" customFormat="false" ht="15" hidden="false" customHeight="false" outlineLevel="0" collapsed="false">
      <c r="A336" s="33"/>
      <c r="B336" s="35"/>
      <c r="C336" s="35"/>
      <c r="D336" s="34"/>
      <c r="E336" s="34"/>
      <c r="F336" s="35"/>
    </row>
    <row r="337" customFormat="false" ht="15" hidden="false" customHeight="false" outlineLevel="0" collapsed="false">
      <c r="A337" s="33"/>
      <c r="B337" s="35"/>
      <c r="C337" s="35"/>
      <c r="D337" s="34"/>
      <c r="E337" s="34"/>
      <c r="F337" s="35"/>
    </row>
    <row r="338" customFormat="false" ht="15" hidden="false" customHeight="false" outlineLevel="0" collapsed="false">
      <c r="A338" s="33"/>
      <c r="B338" s="35"/>
      <c r="C338" s="35"/>
      <c r="D338" s="34"/>
      <c r="E338" s="34"/>
      <c r="F338" s="35"/>
    </row>
    <row r="339" customFormat="false" ht="15" hidden="false" customHeight="false" outlineLevel="0" collapsed="false">
      <c r="A339" s="33"/>
      <c r="B339" s="35"/>
      <c r="C339" s="35"/>
      <c r="D339" s="34"/>
      <c r="E339" s="34"/>
      <c r="F339" s="35"/>
    </row>
    <row r="340" customFormat="false" ht="15" hidden="false" customHeight="false" outlineLevel="0" collapsed="false">
      <c r="A340" s="33"/>
      <c r="B340" s="35"/>
      <c r="C340" s="35"/>
      <c r="D340" s="34"/>
      <c r="E340" s="34"/>
      <c r="F340" s="35"/>
    </row>
    <row r="341" customFormat="false" ht="15" hidden="false" customHeight="false" outlineLevel="0" collapsed="false">
      <c r="A341" s="33"/>
      <c r="B341" s="35"/>
      <c r="C341" s="35"/>
      <c r="D341" s="34"/>
      <c r="E341" s="34"/>
      <c r="F341" s="35"/>
    </row>
    <row r="342" customFormat="false" ht="15" hidden="false" customHeight="false" outlineLevel="0" collapsed="false">
      <c r="A342" s="33"/>
      <c r="B342" s="35"/>
      <c r="C342" s="35"/>
      <c r="D342" s="34"/>
      <c r="E342" s="34"/>
      <c r="F342" s="35"/>
    </row>
    <row r="343" customFormat="false" ht="15" hidden="false" customHeight="false" outlineLevel="0" collapsed="false">
      <c r="A343" s="33"/>
      <c r="B343" s="35"/>
      <c r="C343" s="35"/>
      <c r="D343" s="34"/>
      <c r="E343" s="34"/>
      <c r="F343" s="35"/>
    </row>
    <row r="344" customFormat="false" ht="15" hidden="false" customHeight="false" outlineLevel="0" collapsed="false">
      <c r="A344" s="33"/>
      <c r="B344" s="35"/>
      <c r="C344" s="35"/>
      <c r="D344" s="34"/>
      <c r="E344" s="34"/>
      <c r="F344" s="35"/>
    </row>
    <row r="345" customFormat="false" ht="15" hidden="false" customHeight="false" outlineLevel="0" collapsed="false">
      <c r="A345" s="33"/>
      <c r="B345" s="35"/>
      <c r="C345" s="35"/>
      <c r="D345" s="34"/>
      <c r="E345" s="34"/>
      <c r="F345" s="35"/>
    </row>
    <row r="346" customFormat="false" ht="15" hidden="false" customHeight="false" outlineLevel="0" collapsed="false">
      <c r="A346" s="33"/>
      <c r="B346" s="35"/>
      <c r="C346" s="35"/>
      <c r="D346" s="34"/>
      <c r="E346" s="34"/>
      <c r="F346" s="35"/>
    </row>
    <row r="347" customFormat="false" ht="15" hidden="false" customHeight="false" outlineLevel="0" collapsed="false">
      <c r="A347" s="33"/>
      <c r="B347" s="35"/>
      <c r="C347" s="35"/>
      <c r="D347" s="34"/>
      <c r="E347" s="34"/>
      <c r="F347" s="35"/>
    </row>
    <row r="348" customFormat="false" ht="15" hidden="false" customHeight="false" outlineLevel="0" collapsed="false">
      <c r="A348" s="33"/>
      <c r="B348" s="35"/>
      <c r="C348" s="35"/>
      <c r="D348" s="34"/>
      <c r="E348" s="34"/>
      <c r="F348" s="35"/>
    </row>
    <row r="349" customFormat="false" ht="15" hidden="false" customHeight="false" outlineLevel="0" collapsed="false">
      <c r="A349" s="33"/>
      <c r="B349" s="35"/>
      <c r="C349" s="35"/>
      <c r="D349" s="34"/>
      <c r="E349" s="34"/>
      <c r="F349" s="35"/>
    </row>
    <row r="350" customFormat="false" ht="15" hidden="false" customHeight="false" outlineLevel="0" collapsed="false">
      <c r="A350" s="33"/>
      <c r="B350" s="35"/>
      <c r="C350" s="35"/>
      <c r="D350" s="34"/>
      <c r="E350" s="34"/>
      <c r="F350" s="35"/>
    </row>
    <row r="351" customFormat="false" ht="15" hidden="false" customHeight="false" outlineLevel="0" collapsed="false">
      <c r="A351" s="33"/>
      <c r="B351" s="35"/>
      <c r="C351" s="35"/>
      <c r="D351" s="34"/>
      <c r="E351" s="34"/>
      <c r="F351" s="35"/>
    </row>
    <row r="352" customFormat="false" ht="15" hidden="false" customHeight="false" outlineLevel="0" collapsed="false">
      <c r="A352" s="33"/>
      <c r="B352" s="35"/>
      <c r="C352" s="35"/>
      <c r="D352" s="34"/>
      <c r="E352" s="34"/>
      <c r="F352" s="35"/>
    </row>
    <row r="353" customFormat="false" ht="15" hidden="false" customHeight="false" outlineLevel="0" collapsed="false">
      <c r="A353" s="33"/>
      <c r="B353" s="35"/>
      <c r="C353" s="35"/>
      <c r="D353" s="34"/>
      <c r="E353" s="34"/>
      <c r="F353" s="35"/>
    </row>
    <row r="354" customFormat="false" ht="15" hidden="false" customHeight="false" outlineLevel="0" collapsed="false">
      <c r="A354" s="33"/>
      <c r="B354" s="35"/>
      <c r="C354" s="35"/>
      <c r="D354" s="34"/>
      <c r="E354" s="34"/>
      <c r="F354" s="35"/>
    </row>
    <row r="355" customFormat="false" ht="15" hidden="false" customHeight="false" outlineLevel="0" collapsed="false">
      <c r="A355" s="33"/>
      <c r="B355" s="35"/>
      <c r="C355" s="35"/>
      <c r="D355" s="34"/>
      <c r="E355" s="34"/>
      <c r="F355" s="35"/>
    </row>
    <row r="356" customFormat="false" ht="15" hidden="false" customHeight="false" outlineLevel="0" collapsed="false">
      <c r="A356" s="33"/>
      <c r="B356" s="35"/>
      <c r="C356" s="35"/>
      <c r="D356" s="34"/>
      <c r="E356" s="34"/>
      <c r="F356" s="35"/>
    </row>
    <row r="357" customFormat="false" ht="15" hidden="false" customHeight="false" outlineLevel="0" collapsed="false">
      <c r="A357" s="33"/>
      <c r="B357" s="35"/>
      <c r="C357" s="35"/>
      <c r="D357" s="34"/>
      <c r="E357" s="34"/>
      <c r="F357" s="35"/>
    </row>
    <row r="358" customFormat="false" ht="15" hidden="false" customHeight="false" outlineLevel="0" collapsed="false">
      <c r="A358" s="33"/>
      <c r="B358" s="35"/>
      <c r="C358" s="35"/>
      <c r="D358" s="34"/>
      <c r="E358" s="34"/>
      <c r="F358" s="35"/>
    </row>
    <row r="359" customFormat="false" ht="15" hidden="false" customHeight="false" outlineLevel="0" collapsed="false">
      <c r="A359" s="33"/>
      <c r="B359" s="35"/>
      <c r="C359" s="35"/>
      <c r="D359" s="34"/>
      <c r="E359" s="34"/>
      <c r="F359" s="35"/>
    </row>
    <row r="360" customFormat="false" ht="15" hidden="false" customHeight="false" outlineLevel="0" collapsed="false">
      <c r="A360" s="33"/>
      <c r="B360" s="35"/>
      <c r="C360" s="35"/>
      <c r="D360" s="34"/>
      <c r="E360" s="34"/>
      <c r="F360" s="35"/>
    </row>
    <row r="361" customFormat="false" ht="15" hidden="false" customHeight="false" outlineLevel="0" collapsed="false">
      <c r="A361" s="33"/>
      <c r="B361" s="35"/>
      <c r="C361" s="35"/>
      <c r="D361" s="34"/>
      <c r="E361" s="34"/>
      <c r="F361" s="35"/>
    </row>
    <row r="362" customFormat="false" ht="15" hidden="false" customHeight="false" outlineLevel="0" collapsed="false">
      <c r="A362" s="33"/>
      <c r="B362" s="35"/>
      <c r="C362" s="35"/>
      <c r="D362" s="34"/>
      <c r="E362" s="34"/>
      <c r="F362" s="35"/>
    </row>
    <row r="363" customFormat="false" ht="15" hidden="false" customHeight="false" outlineLevel="0" collapsed="false">
      <c r="A363" s="33"/>
      <c r="B363" s="35"/>
      <c r="C363" s="35"/>
      <c r="D363" s="34"/>
      <c r="E363" s="34"/>
      <c r="F363" s="35"/>
    </row>
    <row r="364" customFormat="false" ht="15" hidden="false" customHeight="false" outlineLevel="0" collapsed="false">
      <c r="A364" s="33"/>
      <c r="B364" s="35"/>
      <c r="C364" s="35"/>
      <c r="D364" s="34"/>
      <c r="E364" s="34"/>
      <c r="F364" s="35"/>
    </row>
    <row r="365" customFormat="false" ht="15" hidden="false" customHeight="false" outlineLevel="0" collapsed="false">
      <c r="A365" s="33"/>
      <c r="B365" s="35"/>
      <c r="C365" s="35"/>
      <c r="D365" s="34"/>
      <c r="E365" s="34"/>
      <c r="F365" s="35"/>
    </row>
    <row r="366" customFormat="false" ht="15" hidden="false" customHeight="false" outlineLevel="0" collapsed="false">
      <c r="A366" s="33"/>
      <c r="B366" s="35"/>
      <c r="C366" s="35"/>
      <c r="D366" s="34"/>
      <c r="E366" s="34"/>
      <c r="F366" s="35"/>
    </row>
    <row r="367" customFormat="false" ht="15" hidden="false" customHeight="false" outlineLevel="0" collapsed="false">
      <c r="A367" s="33"/>
      <c r="B367" s="35"/>
      <c r="C367" s="35"/>
      <c r="D367" s="34"/>
      <c r="E367" s="34"/>
      <c r="F367" s="35"/>
    </row>
    <row r="368" customFormat="false" ht="15" hidden="false" customHeight="false" outlineLevel="0" collapsed="false">
      <c r="A368" s="33"/>
      <c r="B368" s="35"/>
      <c r="C368" s="35"/>
      <c r="D368" s="34"/>
      <c r="E368" s="34"/>
      <c r="F368" s="35"/>
    </row>
    <row r="369" customFormat="false" ht="15" hidden="false" customHeight="false" outlineLevel="0" collapsed="false">
      <c r="A369" s="33"/>
      <c r="B369" s="35"/>
      <c r="C369" s="35"/>
      <c r="D369" s="34"/>
      <c r="E369" s="34"/>
      <c r="F369" s="35"/>
    </row>
    <row r="370" customFormat="false" ht="15" hidden="false" customHeight="false" outlineLevel="0" collapsed="false">
      <c r="A370" s="33"/>
      <c r="B370" s="35"/>
      <c r="C370" s="35"/>
      <c r="D370" s="34"/>
      <c r="E370" s="34"/>
      <c r="F370" s="35"/>
    </row>
    <row r="371" customFormat="false" ht="15" hidden="false" customHeight="false" outlineLevel="0" collapsed="false">
      <c r="A371" s="33"/>
      <c r="B371" s="35"/>
      <c r="C371" s="35"/>
      <c r="D371" s="34"/>
      <c r="E371" s="34"/>
      <c r="F371" s="35"/>
    </row>
    <row r="372" customFormat="false" ht="15" hidden="false" customHeight="false" outlineLevel="0" collapsed="false">
      <c r="A372" s="33"/>
      <c r="B372" s="35"/>
      <c r="C372" s="35"/>
      <c r="D372" s="34"/>
      <c r="E372" s="34"/>
      <c r="F372" s="35"/>
    </row>
    <row r="373" customFormat="false" ht="15" hidden="false" customHeight="false" outlineLevel="0" collapsed="false">
      <c r="A373" s="33"/>
      <c r="B373" s="35"/>
      <c r="C373" s="35"/>
      <c r="D373" s="34"/>
      <c r="E373" s="34"/>
      <c r="F373" s="35"/>
    </row>
    <row r="374" customFormat="false" ht="15" hidden="false" customHeight="false" outlineLevel="0" collapsed="false">
      <c r="A374" s="33"/>
      <c r="B374" s="35"/>
      <c r="C374" s="35"/>
      <c r="D374" s="34"/>
      <c r="E374" s="34"/>
      <c r="F374" s="35"/>
    </row>
    <row r="375" customFormat="false" ht="15" hidden="false" customHeight="false" outlineLevel="0" collapsed="false">
      <c r="A375" s="33"/>
      <c r="B375" s="35"/>
      <c r="C375" s="35"/>
      <c r="D375" s="34"/>
      <c r="E375" s="34"/>
      <c r="F375" s="35"/>
    </row>
    <row r="376" customFormat="false" ht="15" hidden="false" customHeight="false" outlineLevel="0" collapsed="false">
      <c r="A376" s="33"/>
      <c r="B376" s="35"/>
      <c r="C376" s="35"/>
      <c r="D376" s="34"/>
      <c r="E376" s="34"/>
      <c r="F376" s="35"/>
    </row>
    <row r="377" customFormat="false" ht="15" hidden="false" customHeight="false" outlineLevel="0" collapsed="false">
      <c r="A377" s="33"/>
      <c r="B377" s="35"/>
      <c r="C377" s="35"/>
      <c r="D377" s="34"/>
      <c r="E377" s="34"/>
      <c r="F377" s="35"/>
    </row>
    <row r="378" customFormat="false" ht="15" hidden="false" customHeight="false" outlineLevel="0" collapsed="false">
      <c r="A378" s="33"/>
      <c r="B378" s="35"/>
      <c r="C378" s="35"/>
      <c r="D378" s="34"/>
      <c r="E378" s="34"/>
      <c r="F378" s="35"/>
    </row>
    <row r="379" customFormat="false" ht="15" hidden="false" customHeight="false" outlineLevel="0" collapsed="false">
      <c r="A379" s="33"/>
      <c r="B379" s="35"/>
      <c r="C379" s="35"/>
      <c r="D379" s="34"/>
      <c r="E379" s="34"/>
      <c r="F379" s="35"/>
    </row>
    <row r="380" customFormat="false" ht="15" hidden="false" customHeight="false" outlineLevel="0" collapsed="false">
      <c r="A380" s="33"/>
      <c r="B380" s="35"/>
      <c r="C380" s="35"/>
      <c r="D380" s="34"/>
      <c r="E380" s="34"/>
      <c r="F380" s="35"/>
    </row>
    <row r="381" customFormat="false" ht="15" hidden="false" customHeight="false" outlineLevel="0" collapsed="false">
      <c r="A381" s="33"/>
      <c r="B381" s="35"/>
      <c r="C381" s="35"/>
      <c r="D381" s="34"/>
      <c r="E381" s="34"/>
      <c r="F381" s="35"/>
    </row>
    <row r="382" customFormat="false" ht="15" hidden="false" customHeight="false" outlineLevel="0" collapsed="false">
      <c r="A382" s="33"/>
      <c r="B382" s="35"/>
      <c r="C382" s="35"/>
      <c r="D382" s="34"/>
      <c r="E382" s="34"/>
      <c r="F382" s="35"/>
    </row>
    <row r="383" customFormat="false" ht="15" hidden="false" customHeight="false" outlineLevel="0" collapsed="false">
      <c r="A383" s="33"/>
      <c r="B383" s="35"/>
      <c r="C383" s="35"/>
      <c r="D383" s="34"/>
      <c r="E383" s="34"/>
      <c r="F383" s="35"/>
    </row>
    <row r="384" customFormat="false" ht="15" hidden="false" customHeight="false" outlineLevel="0" collapsed="false">
      <c r="A384" s="33"/>
      <c r="B384" s="35"/>
      <c r="C384" s="35"/>
      <c r="D384" s="34"/>
      <c r="E384" s="34"/>
      <c r="F384" s="35"/>
    </row>
    <row r="385" customFormat="false" ht="15" hidden="false" customHeight="false" outlineLevel="0" collapsed="false">
      <c r="A385" s="33"/>
      <c r="B385" s="35"/>
      <c r="C385" s="35"/>
      <c r="D385" s="34"/>
      <c r="E385" s="34"/>
      <c r="F385" s="35"/>
    </row>
    <row r="386" customFormat="false" ht="15" hidden="false" customHeight="false" outlineLevel="0" collapsed="false">
      <c r="A386" s="33"/>
      <c r="B386" s="35"/>
      <c r="C386" s="35"/>
      <c r="D386" s="34"/>
      <c r="E386" s="34"/>
      <c r="F386" s="35"/>
    </row>
    <row r="387" customFormat="false" ht="15" hidden="false" customHeight="false" outlineLevel="0" collapsed="false">
      <c r="A387" s="33"/>
      <c r="B387" s="35"/>
      <c r="C387" s="35"/>
      <c r="D387" s="34"/>
      <c r="E387" s="34"/>
      <c r="F387" s="35"/>
    </row>
    <row r="388" customFormat="false" ht="15" hidden="false" customHeight="false" outlineLevel="0" collapsed="false">
      <c r="A388" s="33"/>
      <c r="B388" s="35"/>
      <c r="C388" s="35"/>
      <c r="D388" s="34"/>
      <c r="E388" s="34"/>
      <c r="F388" s="35"/>
    </row>
    <row r="389" customFormat="false" ht="15" hidden="false" customHeight="false" outlineLevel="0" collapsed="false">
      <c r="A389" s="33"/>
      <c r="B389" s="35"/>
      <c r="C389" s="35"/>
      <c r="D389" s="34"/>
      <c r="E389" s="34"/>
      <c r="F389" s="35"/>
    </row>
    <row r="390" customFormat="false" ht="15" hidden="false" customHeight="false" outlineLevel="0" collapsed="false">
      <c r="A390" s="33"/>
      <c r="B390" s="35"/>
      <c r="C390" s="35"/>
      <c r="D390" s="34"/>
      <c r="E390" s="34"/>
      <c r="F390" s="35"/>
    </row>
    <row r="391" customFormat="false" ht="15" hidden="false" customHeight="false" outlineLevel="0" collapsed="false">
      <c r="A391" s="33"/>
      <c r="B391" s="35"/>
      <c r="C391" s="35"/>
      <c r="D391" s="34"/>
      <c r="E391" s="34"/>
      <c r="F391" s="35"/>
    </row>
    <row r="392" customFormat="false" ht="15" hidden="false" customHeight="false" outlineLevel="0" collapsed="false">
      <c r="A392" s="33"/>
      <c r="B392" s="35"/>
      <c r="C392" s="35"/>
      <c r="D392" s="34"/>
      <c r="E392" s="34"/>
      <c r="F392" s="35"/>
    </row>
    <row r="393" customFormat="false" ht="15" hidden="false" customHeight="false" outlineLevel="0" collapsed="false">
      <c r="A393" s="33"/>
      <c r="B393" s="35"/>
      <c r="C393" s="35"/>
      <c r="D393" s="34"/>
      <c r="E393" s="34"/>
      <c r="F393" s="35"/>
    </row>
    <row r="394" customFormat="false" ht="15" hidden="false" customHeight="false" outlineLevel="0" collapsed="false">
      <c r="A394" s="33"/>
      <c r="B394" s="35"/>
      <c r="C394" s="35"/>
      <c r="D394" s="34"/>
      <c r="E394" s="34"/>
      <c r="F394" s="35"/>
    </row>
    <row r="395" customFormat="false" ht="15" hidden="false" customHeight="false" outlineLevel="0" collapsed="false">
      <c r="A395" s="33"/>
      <c r="B395" s="35"/>
      <c r="C395" s="35"/>
      <c r="D395" s="34"/>
      <c r="E395" s="34"/>
      <c r="F395" s="35"/>
    </row>
    <row r="396" customFormat="false" ht="15" hidden="false" customHeight="false" outlineLevel="0" collapsed="false">
      <c r="A396" s="33"/>
      <c r="B396" s="35"/>
      <c r="C396" s="35"/>
      <c r="D396" s="34"/>
      <c r="E396" s="34"/>
      <c r="F396" s="35"/>
    </row>
    <row r="397" customFormat="false" ht="15" hidden="false" customHeight="false" outlineLevel="0" collapsed="false">
      <c r="A397" s="33"/>
      <c r="B397" s="35"/>
      <c r="C397" s="35"/>
      <c r="D397" s="34"/>
      <c r="E397" s="34"/>
      <c r="F397" s="35"/>
    </row>
    <row r="398" customFormat="false" ht="15" hidden="false" customHeight="false" outlineLevel="0" collapsed="false">
      <c r="A398" s="33"/>
      <c r="B398" s="35"/>
      <c r="C398" s="35"/>
      <c r="D398" s="34"/>
      <c r="E398" s="34"/>
      <c r="F398" s="35"/>
    </row>
    <row r="399" customFormat="false" ht="15" hidden="false" customHeight="false" outlineLevel="0" collapsed="false">
      <c r="A399" s="33"/>
      <c r="B399" s="35"/>
      <c r="C399" s="35"/>
      <c r="D399" s="34"/>
      <c r="E399" s="34"/>
      <c r="F399" s="35"/>
    </row>
    <row r="400" customFormat="false" ht="15" hidden="false" customHeight="false" outlineLevel="0" collapsed="false">
      <c r="A400" s="33"/>
      <c r="B400" s="35"/>
      <c r="C400" s="35"/>
      <c r="D400" s="34"/>
      <c r="E400" s="34"/>
      <c r="F400" s="35"/>
    </row>
    <row r="401" customFormat="false" ht="15" hidden="false" customHeight="false" outlineLevel="0" collapsed="false">
      <c r="A401" s="33"/>
      <c r="B401" s="35"/>
      <c r="C401" s="35"/>
      <c r="D401" s="34"/>
      <c r="E401" s="34"/>
      <c r="F401" s="35"/>
    </row>
    <row r="402" customFormat="false" ht="15" hidden="false" customHeight="false" outlineLevel="0" collapsed="false">
      <c r="A402" s="33"/>
      <c r="B402" s="35"/>
      <c r="C402" s="35"/>
      <c r="D402" s="34"/>
      <c r="E402" s="34"/>
      <c r="F402" s="35"/>
    </row>
    <row r="403" customFormat="false" ht="15" hidden="false" customHeight="false" outlineLevel="0" collapsed="false">
      <c r="A403" s="33"/>
      <c r="B403" s="35"/>
      <c r="C403" s="35"/>
      <c r="D403" s="34"/>
      <c r="E403" s="34"/>
      <c r="F403" s="35"/>
    </row>
    <row r="404" customFormat="false" ht="15" hidden="false" customHeight="false" outlineLevel="0" collapsed="false">
      <c r="A404" s="33"/>
      <c r="B404" s="35"/>
      <c r="C404" s="35"/>
      <c r="D404" s="34"/>
      <c r="E404" s="34"/>
      <c r="F404" s="35"/>
    </row>
    <row r="405" customFormat="false" ht="15" hidden="false" customHeight="false" outlineLevel="0" collapsed="false">
      <c r="A405" s="33"/>
      <c r="B405" s="35"/>
      <c r="C405" s="35"/>
      <c r="D405" s="34"/>
      <c r="E405" s="34"/>
      <c r="F405" s="35"/>
    </row>
    <row r="406" customFormat="false" ht="15" hidden="false" customHeight="false" outlineLevel="0" collapsed="false">
      <c r="A406" s="33"/>
      <c r="B406" s="35"/>
      <c r="C406" s="35"/>
      <c r="D406" s="34"/>
      <c r="E406" s="34"/>
      <c r="F406" s="35"/>
    </row>
    <row r="407" customFormat="false" ht="15" hidden="false" customHeight="false" outlineLevel="0" collapsed="false">
      <c r="A407" s="33"/>
      <c r="B407" s="35"/>
      <c r="C407" s="35"/>
      <c r="D407" s="34"/>
      <c r="E407" s="34"/>
      <c r="F407" s="35"/>
    </row>
    <row r="408" customFormat="false" ht="15" hidden="false" customHeight="false" outlineLevel="0" collapsed="false">
      <c r="A408" s="33"/>
      <c r="B408" s="35"/>
      <c r="C408" s="35"/>
      <c r="D408" s="34"/>
      <c r="E408" s="34"/>
      <c r="F408" s="35"/>
    </row>
    <row r="409" customFormat="false" ht="15" hidden="false" customHeight="false" outlineLevel="0" collapsed="false">
      <c r="A409" s="33"/>
      <c r="B409" s="35"/>
      <c r="C409" s="35"/>
      <c r="D409" s="34"/>
      <c r="E409" s="34"/>
      <c r="F409" s="35"/>
    </row>
    <row r="410" customFormat="false" ht="15" hidden="false" customHeight="false" outlineLevel="0" collapsed="false">
      <c r="A410" s="33"/>
      <c r="B410" s="35"/>
      <c r="C410" s="35"/>
      <c r="D410" s="34"/>
      <c r="E410" s="34"/>
      <c r="F410" s="35"/>
    </row>
    <row r="411" customFormat="false" ht="15" hidden="false" customHeight="false" outlineLevel="0" collapsed="false">
      <c r="A411" s="33"/>
      <c r="B411" s="35"/>
      <c r="C411" s="35"/>
      <c r="D411" s="34"/>
      <c r="E411" s="34"/>
      <c r="F411" s="35"/>
    </row>
    <row r="412" customFormat="false" ht="15" hidden="false" customHeight="false" outlineLevel="0" collapsed="false">
      <c r="A412" s="33"/>
      <c r="B412" s="35"/>
      <c r="C412" s="35"/>
      <c r="D412" s="34"/>
      <c r="E412" s="34"/>
      <c r="F412" s="35"/>
    </row>
    <row r="413" customFormat="false" ht="15" hidden="false" customHeight="false" outlineLevel="0" collapsed="false">
      <c r="A413" s="33"/>
      <c r="B413" s="35"/>
      <c r="C413" s="35"/>
      <c r="D413" s="34"/>
      <c r="E413" s="34"/>
      <c r="F413" s="35"/>
    </row>
    <row r="414" customFormat="false" ht="15" hidden="false" customHeight="false" outlineLevel="0" collapsed="false">
      <c r="A414" s="33"/>
      <c r="B414" s="35"/>
      <c r="C414" s="35"/>
      <c r="D414" s="34"/>
      <c r="E414" s="34"/>
      <c r="F414" s="35"/>
    </row>
    <row r="415" customFormat="false" ht="15" hidden="false" customHeight="false" outlineLevel="0" collapsed="false">
      <c r="A415" s="33"/>
      <c r="B415" s="35"/>
      <c r="C415" s="35"/>
      <c r="D415" s="34"/>
      <c r="E415" s="34"/>
      <c r="F415" s="35"/>
    </row>
    <row r="416" customFormat="false" ht="15" hidden="false" customHeight="false" outlineLevel="0" collapsed="false">
      <c r="A416" s="33"/>
      <c r="B416" s="35"/>
      <c r="C416" s="35"/>
      <c r="D416" s="34"/>
      <c r="E416" s="34"/>
      <c r="F416" s="35"/>
    </row>
    <row r="417" customFormat="false" ht="15" hidden="false" customHeight="false" outlineLevel="0" collapsed="false">
      <c r="A417" s="33"/>
      <c r="B417" s="35"/>
      <c r="C417" s="35"/>
      <c r="D417" s="34"/>
      <c r="E417" s="34"/>
      <c r="F417" s="35"/>
    </row>
    <row r="418" customFormat="false" ht="15" hidden="false" customHeight="false" outlineLevel="0" collapsed="false">
      <c r="A418" s="33"/>
      <c r="B418" s="35"/>
      <c r="C418" s="35"/>
      <c r="D418" s="34"/>
      <c r="E418" s="34"/>
      <c r="F418" s="35"/>
    </row>
    <row r="419" customFormat="false" ht="15" hidden="false" customHeight="false" outlineLevel="0" collapsed="false">
      <c r="A419" s="33"/>
      <c r="B419" s="35"/>
      <c r="C419" s="35"/>
      <c r="D419" s="34"/>
      <c r="E419" s="34"/>
      <c r="F419" s="35"/>
    </row>
    <row r="420" customFormat="false" ht="15" hidden="false" customHeight="false" outlineLevel="0" collapsed="false">
      <c r="A420" s="33"/>
      <c r="B420" s="35"/>
      <c r="C420" s="35"/>
      <c r="D420" s="34"/>
      <c r="E420" s="34"/>
      <c r="F420" s="35"/>
    </row>
    <row r="421" customFormat="false" ht="15" hidden="false" customHeight="false" outlineLevel="0" collapsed="false">
      <c r="A421" s="33"/>
      <c r="B421" s="35"/>
      <c r="C421" s="35"/>
      <c r="D421" s="34"/>
      <c r="E421" s="34"/>
      <c r="F421" s="35"/>
    </row>
    <row r="422" customFormat="false" ht="15" hidden="false" customHeight="false" outlineLevel="0" collapsed="false">
      <c r="A422" s="33"/>
      <c r="B422" s="35"/>
      <c r="C422" s="35"/>
      <c r="D422" s="34"/>
      <c r="E422" s="34"/>
      <c r="F422" s="35"/>
    </row>
    <row r="423" customFormat="false" ht="15" hidden="false" customHeight="false" outlineLevel="0" collapsed="false">
      <c r="A423" s="33"/>
      <c r="B423" s="35"/>
      <c r="C423" s="35"/>
      <c r="D423" s="34"/>
      <c r="E423" s="34"/>
      <c r="F423" s="35"/>
    </row>
    <row r="424" customFormat="false" ht="15" hidden="false" customHeight="false" outlineLevel="0" collapsed="false">
      <c r="A424" s="33"/>
      <c r="B424" s="35"/>
      <c r="C424" s="35"/>
      <c r="D424" s="34"/>
      <c r="E424" s="34"/>
      <c r="F424" s="35"/>
    </row>
    <row r="425" customFormat="false" ht="15" hidden="false" customHeight="false" outlineLevel="0" collapsed="false">
      <c r="A425" s="33"/>
      <c r="B425" s="35"/>
      <c r="C425" s="35"/>
      <c r="D425" s="34"/>
      <c r="E425" s="34"/>
      <c r="F425" s="35"/>
    </row>
    <row r="426" customFormat="false" ht="15" hidden="false" customHeight="false" outlineLevel="0" collapsed="false">
      <c r="A426" s="33"/>
      <c r="B426" s="35"/>
      <c r="C426" s="35"/>
      <c r="D426" s="34"/>
      <c r="E426" s="34"/>
      <c r="F426" s="35"/>
    </row>
    <row r="427" customFormat="false" ht="15" hidden="false" customHeight="false" outlineLevel="0" collapsed="false">
      <c r="A427" s="33"/>
      <c r="B427" s="35"/>
      <c r="C427" s="35"/>
      <c r="D427" s="34"/>
      <c r="E427" s="34"/>
      <c r="F427" s="35"/>
    </row>
    <row r="428" customFormat="false" ht="15" hidden="false" customHeight="false" outlineLevel="0" collapsed="false">
      <c r="A428" s="33"/>
      <c r="B428" s="35"/>
      <c r="C428" s="35"/>
      <c r="D428" s="34"/>
      <c r="E428" s="34"/>
      <c r="F428" s="35"/>
    </row>
    <row r="429" customFormat="false" ht="15" hidden="false" customHeight="false" outlineLevel="0" collapsed="false">
      <c r="A429" s="33"/>
      <c r="B429" s="35"/>
      <c r="C429" s="35"/>
      <c r="D429" s="34"/>
      <c r="E429" s="34"/>
      <c r="F429" s="35"/>
    </row>
    <row r="430" customFormat="false" ht="15" hidden="false" customHeight="false" outlineLevel="0" collapsed="false">
      <c r="A430" s="33"/>
      <c r="B430" s="35"/>
      <c r="C430" s="35"/>
      <c r="D430" s="34"/>
      <c r="E430" s="34"/>
      <c r="F430" s="35"/>
    </row>
    <row r="431" customFormat="false" ht="15" hidden="false" customHeight="false" outlineLevel="0" collapsed="false">
      <c r="A431" s="33"/>
      <c r="B431" s="35"/>
      <c r="C431" s="35"/>
      <c r="D431" s="34"/>
      <c r="E431" s="34"/>
      <c r="F431" s="35"/>
    </row>
    <row r="432" customFormat="false" ht="15" hidden="false" customHeight="false" outlineLevel="0" collapsed="false">
      <c r="A432" s="33"/>
      <c r="B432" s="35"/>
      <c r="C432" s="35"/>
      <c r="D432" s="34"/>
      <c r="E432" s="34"/>
      <c r="F432" s="35"/>
    </row>
    <row r="433" customFormat="false" ht="15" hidden="false" customHeight="false" outlineLevel="0" collapsed="false">
      <c r="A433" s="33"/>
      <c r="B433" s="35"/>
      <c r="C433" s="35"/>
      <c r="D433" s="34"/>
      <c r="E433" s="34"/>
      <c r="F433" s="35"/>
    </row>
    <row r="434" customFormat="false" ht="15" hidden="false" customHeight="false" outlineLevel="0" collapsed="false">
      <c r="A434" s="33"/>
      <c r="B434" s="35"/>
      <c r="C434" s="35"/>
      <c r="D434" s="34"/>
      <c r="E434" s="34"/>
      <c r="F434" s="35"/>
    </row>
    <row r="435" customFormat="false" ht="15" hidden="false" customHeight="false" outlineLevel="0" collapsed="false">
      <c r="A435" s="33"/>
      <c r="B435" s="35"/>
      <c r="C435" s="35"/>
      <c r="D435" s="34"/>
      <c r="E435" s="34"/>
      <c r="F435" s="35"/>
    </row>
    <row r="436" customFormat="false" ht="15" hidden="false" customHeight="false" outlineLevel="0" collapsed="false">
      <c r="A436" s="33"/>
      <c r="B436" s="35"/>
      <c r="C436" s="35"/>
      <c r="D436" s="34"/>
      <c r="E436" s="34"/>
      <c r="F436" s="35"/>
    </row>
    <row r="437" customFormat="false" ht="15" hidden="false" customHeight="false" outlineLevel="0" collapsed="false">
      <c r="A437" s="33"/>
      <c r="B437" s="35"/>
      <c r="C437" s="35"/>
      <c r="D437" s="34"/>
      <c r="E437" s="34"/>
      <c r="F437" s="35"/>
    </row>
    <row r="438" customFormat="false" ht="15" hidden="false" customHeight="false" outlineLevel="0" collapsed="false">
      <c r="A438" s="33"/>
      <c r="B438" s="35"/>
      <c r="C438" s="35"/>
      <c r="D438" s="34"/>
      <c r="E438" s="34"/>
      <c r="F438" s="35"/>
    </row>
    <row r="439" customFormat="false" ht="15" hidden="false" customHeight="false" outlineLevel="0" collapsed="false">
      <c r="A439" s="33"/>
      <c r="B439" s="35"/>
      <c r="C439" s="35"/>
      <c r="D439" s="34"/>
      <c r="E439" s="34"/>
      <c r="F439" s="35"/>
    </row>
    <row r="440" customFormat="false" ht="15" hidden="false" customHeight="false" outlineLevel="0" collapsed="false">
      <c r="A440" s="33"/>
      <c r="B440" s="35"/>
      <c r="C440" s="35"/>
      <c r="D440" s="34"/>
      <c r="E440" s="34"/>
      <c r="F440" s="35"/>
    </row>
    <row r="441" customFormat="false" ht="15" hidden="false" customHeight="false" outlineLevel="0" collapsed="false">
      <c r="A441" s="33"/>
      <c r="B441" s="35"/>
      <c r="C441" s="35"/>
      <c r="D441" s="34"/>
      <c r="E441" s="34"/>
      <c r="F441" s="35"/>
    </row>
    <row r="442" customFormat="false" ht="15" hidden="false" customHeight="false" outlineLevel="0" collapsed="false">
      <c r="A442" s="33"/>
      <c r="B442" s="35"/>
      <c r="C442" s="35"/>
      <c r="D442" s="34"/>
      <c r="E442" s="34"/>
      <c r="F442" s="35"/>
    </row>
    <row r="443" customFormat="false" ht="15" hidden="false" customHeight="false" outlineLevel="0" collapsed="false">
      <c r="A443" s="33"/>
      <c r="B443" s="35"/>
      <c r="C443" s="35"/>
      <c r="D443" s="34"/>
      <c r="E443" s="34"/>
      <c r="F443" s="35"/>
    </row>
    <row r="444" customFormat="false" ht="15" hidden="false" customHeight="false" outlineLevel="0" collapsed="false">
      <c r="A444" s="33"/>
      <c r="B444" s="35"/>
      <c r="C444" s="35"/>
      <c r="D444" s="34"/>
      <c r="E444" s="34"/>
      <c r="F444" s="35"/>
    </row>
    <row r="445" customFormat="false" ht="15" hidden="false" customHeight="false" outlineLevel="0" collapsed="false">
      <c r="A445" s="33"/>
      <c r="B445" s="35"/>
      <c r="C445" s="35"/>
      <c r="D445" s="34"/>
      <c r="E445" s="34"/>
      <c r="F445" s="35"/>
    </row>
    <row r="446" customFormat="false" ht="15" hidden="false" customHeight="false" outlineLevel="0" collapsed="false">
      <c r="A446" s="33"/>
      <c r="B446" s="35"/>
      <c r="C446" s="35"/>
      <c r="D446" s="34"/>
      <c r="E446" s="34"/>
      <c r="F446" s="35"/>
    </row>
    <row r="447" customFormat="false" ht="15" hidden="false" customHeight="false" outlineLevel="0" collapsed="false">
      <c r="A447" s="33"/>
      <c r="B447" s="35"/>
      <c r="C447" s="35"/>
      <c r="D447" s="34"/>
      <c r="E447" s="34"/>
      <c r="F447" s="35"/>
    </row>
    <row r="448" customFormat="false" ht="15" hidden="false" customHeight="false" outlineLevel="0" collapsed="false">
      <c r="A448" s="33"/>
      <c r="B448" s="35"/>
      <c r="C448" s="35"/>
      <c r="D448" s="34"/>
      <c r="E448" s="34"/>
      <c r="F448" s="35"/>
    </row>
    <row r="449" customFormat="false" ht="15" hidden="false" customHeight="false" outlineLevel="0" collapsed="false">
      <c r="A449" s="33"/>
      <c r="B449" s="35"/>
      <c r="C449" s="35"/>
      <c r="D449" s="34"/>
      <c r="E449" s="34"/>
      <c r="F449" s="35"/>
    </row>
    <row r="450" customFormat="false" ht="15" hidden="false" customHeight="false" outlineLevel="0" collapsed="false">
      <c r="A450" s="33"/>
      <c r="B450" s="35"/>
      <c r="C450" s="35"/>
      <c r="D450" s="34"/>
      <c r="E450" s="34"/>
      <c r="F450" s="35"/>
    </row>
    <row r="451" customFormat="false" ht="15" hidden="false" customHeight="false" outlineLevel="0" collapsed="false">
      <c r="A451" s="33"/>
      <c r="B451" s="35"/>
      <c r="C451" s="35"/>
      <c r="D451" s="34"/>
      <c r="E451" s="34"/>
      <c r="F451" s="35"/>
    </row>
    <row r="452" customFormat="false" ht="15" hidden="false" customHeight="false" outlineLevel="0" collapsed="false">
      <c r="A452" s="33"/>
      <c r="B452" s="35"/>
      <c r="C452" s="35"/>
      <c r="D452" s="34"/>
      <c r="E452" s="34"/>
      <c r="F452" s="35"/>
    </row>
    <row r="453" customFormat="false" ht="15" hidden="false" customHeight="false" outlineLevel="0" collapsed="false">
      <c r="A453" s="33"/>
      <c r="B453" s="35"/>
      <c r="C453" s="35"/>
      <c r="D453" s="34"/>
      <c r="E453" s="34"/>
      <c r="F453" s="35"/>
    </row>
    <row r="454" customFormat="false" ht="15" hidden="false" customHeight="false" outlineLevel="0" collapsed="false">
      <c r="A454" s="33"/>
      <c r="B454" s="35"/>
      <c r="C454" s="35"/>
      <c r="D454" s="34"/>
      <c r="E454" s="34"/>
      <c r="F454" s="35"/>
    </row>
    <row r="455" customFormat="false" ht="15" hidden="false" customHeight="false" outlineLevel="0" collapsed="false">
      <c r="A455" s="33"/>
      <c r="B455" s="35"/>
      <c r="C455" s="35"/>
      <c r="D455" s="34"/>
      <c r="E455" s="34"/>
      <c r="F455" s="35"/>
    </row>
    <row r="456" customFormat="false" ht="15" hidden="false" customHeight="false" outlineLevel="0" collapsed="false">
      <c r="A456" s="33"/>
      <c r="B456" s="35"/>
      <c r="C456" s="35"/>
      <c r="D456" s="34"/>
      <c r="E456" s="34"/>
      <c r="F456" s="35"/>
    </row>
    <row r="457" customFormat="false" ht="15" hidden="false" customHeight="false" outlineLevel="0" collapsed="false">
      <c r="A457" s="33"/>
      <c r="B457" s="35"/>
      <c r="C457" s="35"/>
      <c r="D457" s="34"/>
      <c r="E457" s="34"/>
      <c r="F457" s="35"/>
    </row>
    <row r="458" customFormat="false" ht="15" hidden="false" customHeight="false" outlineLevel="0" collapsed="false">
      <c r="A458" s="33"/>
      <c r="B458" s="35"/>
      <c r="C458" s="35"/>
      <c r="D458" s="34"/>
      <c r="E458" s="34"/>
      <c r="F458" s="35"/>
    </row>
    <row r="459" customFormat="false" ht="15" hidden="false" customHeight="false" outlineLevel="0" collapsed="false">
      <c r="A459" s="33"/>
      <c r="B459" s="35"/>
      <c r="C459" s="35"/>
      <c r="D459" s="34"/>
      <c r="E459" s="34"/>
      <c r="F459" s="35"/>
    </row>
    <row r="460" customFormat="false" ht="15" hidden="false" customHeight="false" outlineLevel="0" collapsed="false">
      <c r="A460" s="33"/>
      <c r="B460" s="35"/>
      <c r="C460" s="35"/>
      <c r="D460" s="34"/>
      <c r="E460" s="34"/>
      <c r="F460" s="35"/>
    </row>
    <row r="461" customFormat="false" ht="15" hidden="false" customHeight="false" outlineLevel="0" collapsed="false">
      <c r="A461" s="33"/>
      <c r="B461" s="35"/>
      <c r="C461" s="35"/>
      <c r="D461" s="34"/>
      <c r="E461" s="34"/>
      <c r="F461" s="35"/>
    </row>
    <row r="462" customFormat="false" ht="15" hidden="false" customHeight="false" outlineLevel="0" collapsed="false">
      <c r="A462" s="33"/>
      <c r="B462" s="35"/>
      <c r="C462" s="35"/>
      <c r="D462" s="34"/>
      <c r="E462" s="34"/>
      <c r="F462" s="35"/>
    </row>
    <row r="463" customFormat="false" ht="15" hidden="false" customHeight="false" outlineLevel="0" collapsed="false">
      <c r="A463" s="33"/>
      <c r="B463" s="35"/>
      <c r="C463" s="35"/>
      <c r="D463" s="34"/>
      <c r="E463" s="34"/>
      <c r="F463" s="35"/>
    </row>
    <row r="464" customFormat="false" ht="15" hidden="false" customHeight="false" outlineLevel="0" collapsed="false">
      <c r="A464" s="33"/>
      <c r="B464" s="35"/>
      <c r="C464" s="35"/>
      <c r="D464" s="34"/>
      <c r="E464" s="34"/>
      <c r="F464" s="35"/>
    </row>
    <row r="465" customFormat="false" ht="15" hidden="false" customHeight="false" outlineLevel="0" collapsed="false">
      <c r="A465" s="33"/>
      <c r="B465" s="35"/>
      <c r="C465" s="35"/>
      <c r="D465" s="34"/>
      <c r="E465" s="34"/>
      <c r="F465" s="35"/>
    </row>
    <row r="466" customFormat="false" ht="15" hidden="false" customHeight="false" outlineLevel="0" collapsed="false">
      <c r="A466" s="33"/>
      <c r="B466" s="35"/>
      <c r="C466" s="35"/>
      <c r="D466" s="34"/>
      <c r="E466" s="34"/>
      <c r="F466" s="35"/>
    </row>
    <row r="467" customFormat="false" ht="15" hidden="false" customHeight="false" outlineLevel="0" collapsed="false">
      <c r="A467" s="33"/>
      <c r="B467" s="35"/>
      <c r="C467" s="35"/>
      <c r="D467" s="34"/>
      <c r="E467" s="34"/>
      <c r="F467" s="35"/>
    </row>
    <row r="468" customFormat="false" ht="15" hidden="false" customHeight="false" outlineLevel="0" collapsed="false">
      <c r="A468" s="33"/>
      <c r="B468" s="35"/>
      <c r="C468" s="35"/>
      <c r="D468" s="34"/>
      <c r="E468" s="34"/>
      <c r="F468" s="35"/>
    </row>
    <row r="469" customFormat="false" ht="15" hidden="false" customHeight="false" outlineLevel="0" collapsed="false">
      <c r="A469" s="33"/>
      <c r="B469" s="35"/>
      <c r="C469" s="35"/>
      <c r="D469" s="34"/>
      <c r="E469" s="34"/>
      <c r="F469" s="35"/>
    </row>
    <row r="470" customFormat="false" ht="15" hidden="false" customHeight="false" outlineLevel="0" collapsed="false">
      <c r="A470" s="33"/>
      <c r="B470" s="35"/>
      <c r="C470" s="35"/>
      <c r="D470" s="34"/>
      <c r="E470" s="34"/>
      <c r="F470" s="35"/>
    </row>
    <row r="471" customFormat="false" ht="15" hidden="false" customHeight="false" outlineLevel="0" collapsed="false">
      <c r="A471" s="33"/>
      <c r="B471" s="35"/>
      <c r="C471" s="35"/>
      <c r="D471" s="34"/>
      <c r="E471" s="34"/>
      <c r="F471" s="35"/>
    </row>
    <row r="472" customFormat="false" ht="15" hidden="false" customHeight="false" outlineLevel="0" collapsed="false">
      <c r="A472" s="33"/>
      <c r="B472" s="35"/>
      <c r="C472" s="35"/>
      <c r="D472" s="34"/>
      <c r="E472" s="34"/>
      <c r="F472" s="35"/>
    </row>
    <row r="473" customFormat="false" ht="15" hidden="false" customHeight="false" outlineLevel="0" collapsed="false">
      <c r="A473" s="33"/>
      <c r="B473" s="35"/>
      <c r="C473" s="35"/>
      <c r="D473" s="34"/>
      <c r="E473" s="34"/>
      <c r="F473" s="35"/>
    </row>
    <row r="474" customFormat="false" ht="15" hidden="false" customHeight="false" outlineLevel="0" collapsed="false">
      <c r="A474" s="33"/>
      <c r="B474" s="35"/>
      <c r="C474" s="35"/>
      <c r="D474" s="34"/>
      <c r="E474" s="34"/>
      <c r="F474" s="35"/>
    </row>
    <row r="475" customFormat="false" ht="15" hidden="false" customHeight="false" outlineLevel="0" collapsed="false">
      <c r="A475" s="33"/>
      <c r="B475" s="35"/>
      <c r="C475" s="35"/>
      <c r="D475" s="34"/>
      <c r="E475" s="34"/>
      <c r="F475" s="35"/>
    </row>
    <row r="476" customFormat="false" ht="15" hidden="false" customHeight="false" outlineLevel="0" collapsed="false">
      <c r="A476" s="33"/>
      <c r="B476" s="35"/>
      <c r="C476" s="35"/>
      <c r="D476" s="34"/>
      <c r="E476" s="34"/>
      <c r="F476" s="35"/>
    </row>
    <row r="477" customFormat="false" ht="15" hidden="false" customHeight="false" outlineLevel="0" collapsed="false">
      <c r="A477" s="33"/>
      <c r="B477" s="35"/>
      <c r="C477" s="35"/>
      <c r="D477" s="34"/>
      <c r="E477" s="34"/>
      <c r="F477" s="35"/>
    </row>
    <row r="478" customFormat="false" ht="15" hidden="false" customHeight="false" outlineLevel="0" collapsed="false">
      <c r="A478" s="33"/>
      <c r="B478" s="35"/>
      <c r="C478" s="35"/>
      <c r="D478" s="34"/>
      <c r="E478" s="34"/>
      <c r="F478" s="35"/>
    </row>
    <row r="479" customFormat="false" ht="15" hidden="false" customHeight="false" outlineLevel="0" collapsed="false">
      <c r="A479" s="33"/>
      <c r="B479" s="35"/>
      <c r="C479" s="35"/>
      <c r="D479" s="34"/>
      <c r="E479" s="34"/>
      <c r="F479" s="35"/>
    </row>
    <row r="480" customFormat="false" ht="15" hidden="false" customHeight="false" outlineLevel="0" collapsed="false">
      <c r="A480" s="33"/>
      <c r="B480" s="35"/>
      <c r="C480" s="35"/>
      <c r="D480" s="34"/>
      <c r="E480" s="34"/>
      <c r="F480" s="35"/>
    </row>
    <row r="481" customFormat="false" ht="15" hidden="false" customHeight="false" outlineLevel="0" collapsed="false">
      <c r="A481" s="33"/>
      <c r="B481" s="35"/>
      <c r="C481" s="35"/>
      <c r="D481" s="34"/>
      <c r="E481" s="34"/>
      <c r="F481" s="35"/>
    </row>
    <row r="482" customFormat="false" ht="15" hidden="false" customHeight="false" outlineLevel="0" collapsed="false">
      <c r="A482" s="33"/>
      <c r="B482" s="35"/>
      <c r="C482" s="35"/>
      <c r="D482" s="34"/>
      <c r="E482" s="34"/>
      <c r="F482" s="35"/>
    </row>
    <row r="483" customFormat="false" ht="15" hidden="false" customHeight="false" outlineLevel="0" collapsed="false">
      <c r="A483" s="33"/>
      <c r="B483" s="35"/>
      <c r="C483" s="35"/>
      <c r="D483" s="34"/>
      <c r="E483" s="34"/>
      <c r="F483" s="35"/>
    </row>
    <row r="484" customFormat="false" ht="15" hidden="false" customHeight="false" outlineLevel="0" collapsed="false">
      <c r="A484" s="33"/>
      <c r="B484" s="35"/>
      <c r="C484" s="35"/>
      <c r="D484" s="34"/>
      <c r="E484" s="34"/>
      <c r="F484" s="35"/>
    </row>
    <row r="485" customFormat="false" ht="15" hidden="false" customHeight="false" outlineLevel="0" collapsed="false">
      <c r="A485" s="33"/>
      <c r="B485" s="35"/>
      <c r="C485" s="35"/>
      <c r="D485" s="34"/>
      <c r="E485" s="34"/>
      <c r="F485" s="35"/>
    </row>
    <row r="486" customFormat="false" ht="15" hidden="false" customHeight="false" outlineLevel="0" collapsed="false">
      <c r="A486" s="33"/>
      <c r="B486" s="35"/>
      <c r="C486" s="35"/>
      <c r="D486" s="34"/>
      <c r="E486" s="34"/>
      <c r="F486" s="35"/>
    </row>
    <row r="487" customFormat="false" ht="15" hidden="false" customHeight="false" outlineLevel="0" collapsed="false">
      <c r="A487" s="33"/>
      <c r="B487" s="35"/>
      <c r="C487" s="35"/>
      <c r="D487" s="34"/>
      <c r="E487" s="34"/>
      <c r="F487" s="35"/>
    </row>
    <row r="488" customFormat="false" ht="15" hidden="false" customHeight="false" outlineLevel="0" collapsed="false">
      <c r="A488" s="33"/>
      <c r="B488" s="35"/>
      <c r="C488" s="35"/>
      <c r="D488" s="34"/>
      <c r="E488" s="34"/>
      <c r="F488" s="35"/>
    </row>
    <row r="489" customFormat="false" ht="15" hidden="false" customHeight="false" outlineLevel="0" collapsed="false">
      <c r="A489" s="33"/>
      <c r="B489" s="35"/>
      <c r="C489" s="35"/>
      <c r="D489" s="34"/>
      <c r="E489" s="34"/>
      <c r="F489" s="35"/>
    </row>
    <row r="490" customFormat="false" ht="15" hidden="false" customHeight="false" outlineLevel="0" collapsed="false">
      <c r="A490" s="33"/>
      <c r="B490" s="35"/>
      <c r="C490" s="35"/>
      <c r="D490" s="34"/>
      <c r="E490" s="34"/>
      <c r="F490" s="35"/>
    </row>
    <row r="491" customFormat="false" ht="15" hidden="false" customHeight="false" outlineLevel="0" collapsed="false">
      <c r="A491" s="33"/>
      <c r="B491" s="35"/>
      <c r="C491" s="35"/>
      <c r="D491" s="34"/>
      <c r="E491" s="34"/>
      <c r="F491" s="35"/>
    </row>
    <row r="492" customFormat="false" ht="15" hidden="false" customHeight="false" outlineLevel="0" collapsed="false">
      <c r="A492" s="33"/>
      <c r="B492" s="35"/>
      <c r="C492" s="35"/>
      <c r="D492" s="34"/>
      <c r="E492" s="34"/>
      <c r="F492" s="35"/>
    </row>
    <row r="493" customFormat="false" ht="15" hidden="false" customHeight="false" outlineLevel="0" collapsed="false">
      <c r="A493" s="33"/>
      <c r="B493" s="35"/>
      <c r="C493" s="35"/>
      <c r="D493" s="34"/>
      <c r="E493" s="34"/>
      <c r="F493" s="35"/>
    </row>
    <row r="494" customFormat="false" ht="15" hidden="false" customHeight="false" outlineLevel="0" collapsed="false">
      <c r="A494" s="33"/>
      <c r="B494" s="35"/>
      <c r="C494" s="35"/>
      <c r="D494" s="34"/>
      <c r="E494" s="34"/>
      <c r="F494" s="35"/>
    </row>
    <row r="495" customFormat="false" ht="15" hidden="false" customHeight="false" outlineLevel="0" collapsed="false">
      <c r="A495" s="33"/>
      <c r="B495" s="35"/>
      <c r="C495" s="35"/>
      <c r="D495" s="34"/>
      <c r="E495" s="34"/>
      <c r="F495" s="35"/>
    </row>
    <row r="496" customFormat="false" ht="15" hidden="false" customHeight="false" outlineLevel="0" collapsed="false">
      <c r="A496" s="33"/>
      <c r="B496" s="35"/>
      <c r="C496" s="35"/>
      <c r="D496" s="34"/>
      <c r="E496" s="34"/>
      <c r="F496" s="35"/>
    </row>
    <row r="497" customFormat="false" ht="15" hidden="false" customHeight="false" outlineLevel="0" collapsed="false">
      <c r="A497" s="33"/>
      <c r="B497" s="35"/>
      <c r="C497" s="35"/>
      <c r="D497" s="34"/>
      <c r="E497" s="34"/>
      <c r="F497" s="35"/>
    </row>
    <row r="498" customFormat="false" ht="15" hidden="false" customHeight="false" outlineLevel="0" collapsed="false">
      <c r="A498" s="33"/>
      <c r="B498" s="35"/>
      <c r="C498" s="35"/>
      <c r="D498" s="34"/>
      <c r="E498" s="34"/>
      <c r="F498" s="35"/>
    </row>
    <row r="499" customFormat="false" ht="15" hidden="false" customHeight="false" outlineLevel="0" collapsed="false">
      <c r="A499" s="33"/>
      <c r="B499" s="35"/>
      <c r="C499" s="35"/>
      <c r="D499" s="34"/>
      <c r="E499" s="34"/>
      <c r="F499" s="35"/>
    </row>
    <row r="500" customFormat="false" ht="15" hidden="false" customHeight="false" outlineLevel="0" collapsed="false">
      <c r="A500" s="33"/>
      <c r="B500" s="35"/>
      <c r="C500" s="35"/>
      <c r="D500" s="34"/>
      <c r="E500" s="34"/>
      <c r="F500" s="35"/>
    </row>
    <row r="501" customFormat="false" ht="15" hidden="false" customHeight="false" outlineLevel="0" collapsed="false">
      <c r="A501" s="33"/>
      <c r="B501" s="35"/>
      <c r="C501" s="35"/>
      <c r="D501" s="34"/>
      <c r="E501" s="34"/>
      <c r="F501" s="35"/>
    </row>
    <row r="502" customFormat="false" ht="15" hidden="false" customHeight="false" outlineLevel="0" collapsed="false">
      <c r="A502" s="33"/>
      <c r="B502" s="35"/>
      <c r="C502" s="35"/>
      <c r="D502" s="34"/>
      <c r="E502" s="34"/>
      <c r="F502" s="35"/>
    </row>
    <row r="503" customFormat="false" ht="15" hidden="false" customHeight="false" outlineLevel="0" collapsed="false">
      <c r="A503" s="33"/>
      <c r="B503" s="35"/>
      <c r="C503" s="35"/>
      <c r="D503" s="34"/>
      <c r="E503" s="34"/>
      <c r="F503" s="35"/>
    </row>
    <row r="504" customFormat="false" ht="15" hidden="false" customHeight="false" outlineLevel="0" collapsed="false">
      <c r="A504" s="33"/>
      <c r="B504" s="35"/>
      <c r="C504" s="35"/>
      <c r="D504" s="34"/>
      <c r="E504" s="34"/>
      <c r="F504" s="35"/>
    </row>
    <row r="505" customFormat="false" ht="15" hidden="false" customHeight="false" outlineLevel="0" collapsed="false">
      <c r="A505" s="33"/>
      <c r="B505" s="35"/>
      <c r="C505" s="35"/>
      <c r="D505" s="34"/>
      <c r="E505" s="34"/>
      <c r="F505" s="35"/>
    </row>
    <row r="506" customFormat="false" ht="15" hidden="false" customHeight="false" outlineLevel="0" collapsed="false">
      <c r="A506" s="33"/>
      <c r="B506" s="35"/>
      <c r="C506" s="35"/>
      <c r="D506" s="34"/>
      <c r="E506" s="34"/>
      <c r="F506" s="35"/>
    </row>
    <row r="507" customFormat="false" ht="15" hidden="false" customHeight="false" outlineLevel="0" collapsed="false">
      <c r="A507" s="33"/>
      <c r="B507" s="35"/>
      <c r="C507" s="35"/>
      <c r="D507" s="34"/>
      <c r="E507" s="34"/>
      <c r="F507" s="35"/>
    </row>
    <row r="508" customFormat="false" ht="15" hidden="false" customHeight="false" outlineLevel="0" collapsed="false">
      <c r="A508" s="33"/>
      <c r="B508" s="35"/>
      <c r="C508" s="35"/>
      <c r="D508" s="34"/>
      <c r="E508" s="34"/>
      <c r="F508" s="35"/>
    </row>
    <row r="509" customFormat="false" ht="15" hidden="false" customHeight="false" outlineLevel="0" collapsed="false">
      <c r="A509" s="33"/>
      <c r="B509" s="35"/>
      <c r="C509" s="35"/>
      <c r="D509" s="34"/>
      <c r="E509" s="34"/>
      <c r="F509" s="35"/>
    </row>
    <row r="510" customFormat="false" ht="15" hidden="false" customHeight="false" outlineLevel="0" collapsed="false">
      <c r="A510" s="33"/>
      <c r="B510" s="35"/>
      <c r="C510" s="35"/>
      <c r="D510" s="34"/>
      <c r="E510" s="34"/>
      <c r="F510" s="35"/>
    </row>
    <row r="511" customFormat="false" ht="15" hidden="false" customHeight="false" outlineLevel="0" collapsed="false">
      <c r="A511" s="33"/>
      <c r="B511" s="35"/>
      <c r="C511" s="35"/>
      <c r="D511" s="34"/>
      <c r="E511" s="34"/>
      <c r="F511" s="35"/>
    </row>
    <row r="512" customFormat="false" ht="15" hidden="false" customHeight="false" outlineLevel="0" collapsed="false">
      <c r="A512" s="33"/>
      <c r="B512" s="35"/>
      <c r="C512" s="35"/>
      <c r="D512" s="34"/>
      <c r="E512" s="34"/>
      <c r="F512" s="35"/>
    </row>
    <row r="513" customFormat="false" ht="15" hidden="false" customHeight="false" outlineLevel="0" collapsed="false">
      <c r="A513" s="33"/>
      <c r="B513" s="35"/>
      <c r="C513" s="35"/>
      <c r="D513" s="34"/>
      <c r="E513" s="34"/>
      <c r="F513" s="35"/>
    </row>
    <row r="514" customFormat="false" ht="15" hidden="false" customHeight="false" outlineLevel="0" collapsed="false">
      <c r="A514" s="33"/>
      <c r="B514" s="35"/>
      <c r="C514" s="35"/>
      <c r="D514" s="34"/>
      <c r="E514" s="34"/>
      <c r="F514" s="35"/>
    </row>
    <row r="515" customFormat="false" ht="15" hidden="false" customHeight="false" outlineLevel="0" collapsed="false">
      <c r="A515" s="33"/>
      <c r="B515" s="35"/>
      <c r="C515" s="35"/>
      <c r="D515" s="34"/>
      <c r="E515" s="34"/>
      <c r="F515" s="35"/>
    </row>
    <row r="516" customFormat="false" ht="15" hidden="false" customHeight="false" outlineLevel="0" collapsed="false">
      <c r="A516" s="33"/>
      <c r="B516" s="35"/>
      <c r="C516" s="35"/>
      <c r="D516" s="34"/>
      <c r="E516" s="34"/>
      <c r="F516" s="35"/>
    </row>
    <row r="517" customFormat="false" ht="15" hidden="false" customHeight="false" outlineLevel="0" collapsed="false">
      <c r="A517" s="33"/>
      <c r="B517" s="35"/>
      <c r="C517" s="35"/>
      <c r="D517" s="34"/>
      <c r="E517" s="34"/>
      <c r="F517" s="35"/>
    </row>
    <row r="518" customFormat="false" ht="15" hidden="false" customHeight="false" outlineLevel="0" collapsed="false">
      <c r="A518" s="33"/>
      <c r="B518" s="35"/>
      <c r="C518" s="35"/>
      <c r="D518" s="34"/>
      <c r="E518" s="34"/>
      <c r="F518" s="35"/>
    </row>
    <row r="519" customFormat="false" ht="15" hidden="false" customHeight="false" outlineLevel="0" collapsed="false">
      <c r="A519" s="33"/>
      <c r="B519" s="35"/>
      <c r="C519" s="35"/>
      <c r="D519" s="34"/>
      <c r="E519" s="34"/>
      <c r="F519" s="35"/>
    </row>
    <row r="520" customFormat="false" ht="15" hidden="false" customHeight="false" outlineLevel="0" collapsed="false">
      <c r="A520" s="33"/>
      <c r="B520" s="35"/>
      <c r="C520" s="35"/>
      <c r="D520" s="34"/>
      <c r="E520" s="34"/>
      <c r="F520" s="35"/>
    </row>
    <row r="521" customFormat="false" ht="15" hidden="false" customHeight="false" outlineLevel="0" collapsed="false">
      <c r="A521" s="33"/>
      <c r="B521" s="35"/>
      <c r="C521" s="35"/>
      <c r="D521" s="34"/>
      <c r="E521" s="34"/>
      <c r="F521" s="35"/>
    </row>
    <row r="522" customFormat="false" ht="15" hidden="false" customHeight="false" outlineLevel="0" collapsed="false">
      <c r="A522" s="33"/>
      <c r="B522" s="35"/>
      <c r="C522" s="35"/>
      <c r="D522" s="34"/>
      <c r="E522" s="34"/>
      <c r="F522" s="35"/>
    </row>
    <row r="523" customFormat="false" ht="15" hidden="false" customHeight="false" outlineLevel="0" collapsed="false">
      <c r="A523" s="33"/>
      <c r="B523" s="35"/>
      <c r="C523" s="35"/>
      <c r="D523" s="34"/>
      <c r="E523" s="34"/>
      <c r="F523" s="35"/>
    </row>
    <row r="524" customFormat="false" ht="15" hidden="false" customHeight="false" outlineLevel="0" collapsed="false">
      <c r="A524" s="33"/>
      <c r="B524" s="35"/>
      <c r="C524" s="35"/>
      <c r="D524" s="34"/>
      <c r="E524" s="34"/>
      <c r="F524" s="35"/>
    </row>
    <row r="525" customFormat="false" ht="15" hidden="false" customHeight="false" outlineLevel="0" collapsed="false">
      <c r="A525" s="33"/>
      <c r="B525" s="35"/>
      <c r="C525" s="35"/>
      <c r="D525" s="34"/>
      <c r="E525" s="34"/>
      <c r="F525" s="35"/>
    </row>
    <row r="526" customFormat="false" ht="15" hidden="false" customHeight="false" outlineLevel="0" collapsed="false">
      <c r="A526" s="33"/>
      <c r="B526" s="35"/>
      <c r="C526" s="35"/>
      <c r="D526" s="34"/>
      <c r="E526" s="34"/>
      <c r="F526" s="35"/>
    </row>
    <row r="527" customFormat="false" ht="15" hidden="false" customHeight="false" outlineLevel="0" collapsed="false">
      <c r="A527" s="33"/>
      <c r="B527" s="35"/>
      <c r="C527" s="35"/>
      <c r="D527" s="34"/>
      <c r="E527" s="34"/>
      <c r="F527" s="35"/>
    </row>
    <row r="528" customFormat="false" ht="15" hidden="false" customHeight="false" outlineLevel="0" collapsed="false">
      <c r="A528" s="33"/>
      <c r="B528" s="35"/>
      <c r="C528" s="35"/>
      <c r="D528" s="34"/>
      <c r="E528" s="34"/>
      <c r="F528" s="35"/>
    </row>
    <row r="529" customFormat="false" ht="15" hidden="false" customHeight="false" outlineLevel="0" collapsed="false">
      <c r="A529" s="33"/>
      <c r="B529" s="35"/>
      <c r="C529" s="35"/>
      <c r="D529" s="34"/>
      <c r="E529" s="34"/>
      <c r="F529" s="35"/>
    </row>
    <row r="530" customFormat="false" ht="15" hidden="false" customHeight="false" outlineLevel="0" collapsed="false">
      <c r="A530" s="33"/>
      <c r="B530" s="35"/>
      <c r="C530" s="35"/>
      <c r="D530" s="34"/>
      <c r="E530" s="34"/>
      <c r="F530" s="35"/>
    </row>
    <row r="531" customFormat="false" ht="15" hidden="false" customHeight="false" outlineLevel="0" collapsed="false">
      <c r="A531" s="33"/>
      <c r="B531" s="35"/>
      <c r="C531" s="35"/>
      <c r="D531" s="34"/>
      <c r="E531" s="34"/>
      <c r="F531" s="35"/>
    </row>
    <row r="532" customFormat="false" ht="15" hidden="false" customHeight="false" outlineLevel="0" collapsed="false">
      <c r="A532" s="33"/>
      <c r="B532" s="35"/>
      <c r="C532" s="35"/>
      <c r="D532" s="34"/>
      <c r="E532" s="34"/>
      <c r="F532" s="35"/>
    </row>
    <row r="533" customFormat="false" ht="15" hidden="false" customHeight="false" outlineLevel="0" collapsed="false">
      <c r="A533" s="33"/>
      <c r="B533" s="35"/>
      <c r="C533" s="35"/>
      <c r="D533" s="34"/>
      <c r="E533" s="34"/>
      <c r="F533" s="35"/>
    </row>
    <row r="534" customFormat="false" ht="15" hidden="false" customHeight="false" outlineLevel="0" collapsed="false">
      <c r="A534" s="33"/>
      <c r="B534" s="35"/>
      <c r="C534" s="35"/>
      <c r="D534" s="34"/>
      <c r="E534" s="34"/>
      <c r="F534" s="35"/>
    </row>
    <row r="535" customFormat="false" ht="15" hidden="false" customHeight="false" outlineLevel="0" collapsed="false">
      <c r="A535" s="33"/>
      <c r="B535" s="35"/>
      <c r="C535" s="35"/>
      <c r="D535" s="34"/>
      <c r="E535" s="34"/>
      <c r="F535" s="35"/>
    </row>
    <row r="536" customFormat="false" ht="15" hidden="false" customHeight="false" outlineLevel="0" collapsed="false">
      <c r="A536" s="33"/>
      <c r="B536" s="35"/>
      <c r="C536" s="35"/>
      <c r="D536" s="34"/>
      <c r="E536" s="34"/>
      <c r="F536" s="35"/>
    </row>
    <row r="537" customFormat="false" ht="15" hidden="false" customHeight="false" outlineLevel="0" collapsed="false">
      <c r="A537" s="33"/>
      <c r="B537" s="35"/>
      <c r="C537" s="35"/>
      <c r="D537" s="34"/>
      <c r="E537" s="34"/>
      <c r="F537" s="35"/>
    </row>
    <row r="538" customFormat="false" ht="15" hidden="false" customHeight="false" outlineLevel="0" collapsed="false">
      <c r="A538" s="33"/>
      <c r="B538" s="35"/>
      <c r="C538" s="35"/>
      <c r="D538" s="34"/>
      <c r="E538" s="34"/>
      <c r="F538" s="35"/>
    </row>
    <row r="539" customFormat="false" ht="15" hidden="false" customHeight="false" outlineLevel="0" collapsed="false">
      <c r="A539" s="33"/>
      <c r="B539" s="35"/>
      <c r="C539" s="35"/>
      <c r="D539" s="34"/>
      <c r="E539" s="34"/>
      <c r="F539" s="35"/>
    </row>
    <row r="540" customFormat="false" ht="15" hidden="false" customHeight="false" outlineLevel="0" collapsed="false">
      <c r="A540" s="33"/>
      <c r="B540" s="35"/>
      <c r="C540" s="35"/>
      <c r="D540" s="34"/>
      <c r="E540" s="34"/>
      <c r="F540" s="35"/>
    </row>
    <row r="541" customFormat="false" ht="15" hidden="false" customHeight="false" outlineLevel="0" collapsed="false">
      <c r="A541" s="33"/>
      <c r="B541" s="35"/>
      <c r="C541" s="35"/>
      <c r="D541" s="34"/>
      <c r="E541" s="34"/>
      <c r="F541" s="35"/>
    </row>
    <row r="542" customFormat="false" ht="15" hidden="false" customHeight="false" outlineLevel="0" collapsed="false">
      <c r="A542" s="33"/>
      <c r="B542" s="35"/>
      <c r="C542" s="35"/>
      <c r="D542" s="34"/>
      <c r="E542" s="34"/>
      <c r="F542" s="35"/>
    </row>
    <row r="543" customFormat="false" ht="15" hidden="false" customHeight="false" outlineLevel="0" collapsed="false">
      <c r="A543" s="33"/>
      <c r="B543" s="35"/>
      <c r="C543" s="35"/>
      <c r="D543" s="34"/>
      <c r="E543" s="34"/>
      <c r="F543" s="35"/>
    </row>
    <row r="544" customFormat="false" ht="15" hidden="false" customHeight="false" outlineLevel="0" collapsed="false">
      <c r="A544" s="33"/>
      <c r="B544" s="35"/>
      <c r="C544" s="35"/>
      <c r="D544" s="34"/>
      <c r="E544" s="34"/>
      <c r="F544" s="35"/>
    </row>
    <row r="545" customFormat="false" ht="15" hidden="false" customHeight="false" outlineLevel="0" collapsed="false">
      <c r="A545" s="33"/>
      <c r="B545" s="35"/>
      <c r="C545" s="35"/>
      <c r="D545" s="34"/>
      <c r="E545" s="34"/>
      <c r="F545" s="35"/>
    </row>
    <row r="546" customFormat="false" ht="15" hidden="false" customHeight="false" outlineLevel="0" collapsed="false">
      <c r="A546" s="33"/>
      <c r="B546" s="35"/>
      <c r="C546" s="35"/>
      <c r="D546" s="34"/>
      <c r="E546" s="34"/>
      <c r="F546" s="35"/>
    </row>
    <row r="547" customFormat="false" ht="15" hidden="false" customHeight="false" outlineLevel="0" collapsed="false">
      <c r="A547" s="33"/>
      <c r="B547" s="35"/>
      <c r="C547" s="35"/>
      <c r="D547" s="34"/>
      <c r="E547" s="34"/>
      <c r="F547" s="35"/>
    </row>
    <row r="548" customFormat="false" ht="15" hidden="false" customHeight="false" outlineLevel="0" collapsed="false">
      <c r="A548" s="33"/>
      <c r="B548" s="35"/>
      <c r="C548" s="35"/>
      <c r="D548" s="34"/>
      <c r="E548" s="34"/>
      <c r="F548" s="35"/>
    </row>
    <row r="549" customFormat="false" ht="15" hidden="false" customHeight="false" outlineLevel="0" collapsed="false">
      <c r="A549" s="33"/>
      <c r="B549" s="35"/>
      <c r="C549" s="35"/>
      <c r="D549" s="34"/>
      <c r="E549" s="34"/>
      <c r="F549" s="35"/>
    </row>
    <row r="550" customFormat="false" ht="15" hidden="false" customHeight="false" outlineLevel="0" collapsed="false">
      <c r="A550" s="33"/>
      <c r="B550" s="35"/>
      <c r="C550" s="35"/>
      <c r="D550" s="34"/>
      <c r="E550" s="34"/>
      <c r="F550" s="35"/>
    </row>
    <row r="551" customFormat="false" ht="15" hidden="false" customHeight="false" outlineLevel="0" collapsed="false">
      <c r="A551" s="33"/>
      <c r="B551" s="35"/>
      <c r="C551" s="35"/>
      <c r="D551" s="34"/>
      <c r="E551" s="34"/>
      <c r="F551" s="35"/>
    </row>
    <row r="552" customFormat="false" ht="15" hidden="false" customHeight="false" outlineLevel="0" collapsed="false">
      <c r="A552" s="33"/>
      <c r="B552" s="35"/>
      <c r="C552" s="35"/>
      <c r="D552" s="34"/>
      <c r="E552" s="34"/>
      <c r="F552" s="35"/>
    </row>
    <row r="553" customFormat="false" ht="15" hidden="false" customHeight="false" outlineLevel="0" collapsed="false">
      <c r="A553" s="33"/>
      <c r="B553" s="35"/>
      <c r="C553" s="35"/>
      <c r="D553" s="34"/>
      <c r="E553" s="34"/>
      <c r="F553" s="35"/>
    </row>
    <row r="554" customFormat="false" ht="15" hidden="false" customHeight="false" outlineLevel="0" collapsed="false">
      <c r="A554" s="33"/>
      <c r="B554" s="35"/>
      <c r="C554" s="35"/>
      <c r="D554" s="34"/>
      <c r="E554" s="34"/>
      <c r="F554" s="35"/>
    </row>
    <row r="555" customFormat="false" ht="15" hidden="false" customHeight="false" outlineLevel="0" collapsed="false">
      <c r="A555" s="33"/>
      <c r="B555" s="35"/>
      <c r="C555" s="35"/>
      <c r="D555" s="34"/>
      <c r="E555" s="34"/>
      <c r="F555" s="35"/>
    </row>
    <row r="556" customFormat="false" ht="15" hidden="false" customHeight="false" outlineLevel="0" collapsed="false">
      <c r="A556" s="33"/>
      <c r="B556" s="35"/>
      <c r="C556" s="35"/>
      <c r="D556" s="34"/>
      <c r="E556" s="34"/>
      <c r="F556" s="35"/>
    </row>
    <row r="557" customFormat="false" ht="15" hidden="false" customHeight="false" outlineLevel="0" collapsed="false">
      <c r="A557" s="33"/>
      <c r="B557" s="35"/>
      <c r="C557" s="35"/>
      <c r="D557" s="34"/>
      <c r="E557" s="34"/>
      <c r="F557" s="35"/>
    </row>
    <row r="558" customFormat="false" ht="15" hidden="false" customHeight="false" outlineLevel="0" collapsed="false">
      <c r="A558" s="33"/>
      <c r="B558" s="35"/>
      <c r="C558" s="35"/>
      <c r="D558" s="34"/>
      <c r="E558" s="34"/>
      <c r="F558" s="35"/>
    </row>
    <row r="559" customFormat="false" ht="15" hidden="false" customHeight="false" outlineLevel="0" collapsed="false">
      <c r="A559" s="33"/>
      <c r="B559" s="35"/>
      <c r="C559" s="35"/>
      <c r="D559" s="34"/>
      <c r="E559" s="34"/>
      <c r="F559" s="35"/>
    </row>
    <row r="560" customFormat="false" ht="15" hidden="false" customHeight="false" outlineLevel="0" collapsed="false">
      <c r="A560" s="33"/>
      <c r="B560" s="35"/>
      <c r="C560" s="35"/>
      <c r="D560" s="34"/>
      <c r="E560" s="34"/>
      <c r="F560" s="35"/>
    </row>
    <row r="561" customFormat="false" ht="15" hidden="false" customHeight="false" outlineLevel="0" collapsed="false">
      <c r="A561" s="33"/>
      <c r="B561" s="35"/>
      <c r="C561" s="35"/>
      <c r="D561" s="34"/>
      <c r="E561" s="34"/>
      <c r="F561" s="35"/>
    </row>
    <row r="562" customFormat="false" ht="15" hidden="false" customHeight="false" outlineLevel="0" collapsed="false">
      <c r="A562" s="33"/>
      <c r="B562" s="35"/>
      <c r="C562" s="35"/>
      <c r="D562" s="34"/>
      <c r="E562" s="34"/>
      <c r="F562" s="35"/>
    </row>
    <row r="563" customFormat="false" ht="15" hidden="false" customHeight="false" outlineLevel="0" collapsed="false">
      <c r="A563" s="33"/>
      <c r="B563" s="35"/>
      <c r="C563" s="35"/>
      <c r="D563" s="34"/>
      <c r="E563" s="34"/>
      <c r="F563" s="35"/>
    </row>
    <row r="564" customFormat="false" ht="15" hidden="false" customHeight="false" outlineLevel="0" collapsed="false">
      <c r="A564" s="33"/>
      <c r="B564" s="35"/>
      <c r="C564" s="35"/>
      <c r="D564" s="34"/>
      <c r="E564" s="34"/>
      <c r="F564" s="35"/>
    </row>
    <row r="565" customFormat="false" ht="15" hidden="false" customHeight="false" outlineLevel="0" collapsed="false">
      <c r="A565" s="33"/>
      <c r="B565" s="35"/>
      <c r="C565" s="35"/>
      <c r="D565" s="34"/>
      <c r="E565" s="34"/>
      <c r="F565" s="35"/>
    </row>
    <row r="566" customFormat="false" ht="15" hidden="false" customHeight="false" outlineLevel="0" collapsed="false">
      <c r="A566" s="33"/>
      <c r="B566" s="35"/>
      <c r="C566" s="35"/>
      <c r="D566" s="34"/>
      <c r="E566" s="34"/>
      <c r="F566" s="35"/>
    </row>
    <row r="567" customFormat="false" ht="15" hidden="false" customHeight="false" outlineLevel="0" collapsed="false">
      <c r="A567" s="33"/>
      <c r="B567" s="35"/>
      <c r="C567" s="35"/>
      <c r="D567" s="34"/>
      <c r="E567" s="34"/>
      <c r="F567" s="35"/>
    </row>
    <row r="568" customFormat="false" ht="15" hidden="false" customHeight="false" outlineLevel="0" collapsed="false">
      <c r="A568" s="33"/>
      <c r="B568" s="35"/>
      <c r="C568" s="35"/>
      <c r="D568" s="34"/>
      <c r="E568" s="34"/>
      <c r="F568" s="35"/>
    </row>
    <row r="569" customFormat="false" ht="15" hidden="false" customHeight="false" outlineLevel="0" collapsed="false">
      <c r="A569" s="33"/>
      <c r="B569" s="35"/>
      <c r="C569" s="35"/>
      <c r="D569" s="34"/>
      <c r="E569" s="34"/>
      <c r="F569" s="35"/>
    </row>
    <row r="570" customFormat="false" ht="15" hidden="false" customHeight="false" outlineLevel="0" collapsed="false">
      <c r="A570" s="33"/>
      <c r="B570" s="35"/>
      <c r="C570" s="35"/>
      <c r="D570" s="34"/>
      <c r="E570" s="34"/>
      <c r="F570" s="35"/>
    </row>
    <row r="571" customFormat="false" ht="15" hidden="false" customHeight="false" outlineLevel="0" collapsed="false">
      <c r="A571" s="33"/>
      <c r="B571" s="35"/>
      <c r="C571" s="35"/>
      <c r="D571" s="34"/>
      <c r="E571" s="34"/>
      <c r="F571" s="35"/>
    </row>
    <row r="572" customFormat="false" ht="15" hidden="false" customHeight="false" outlineLevel="0" collapsed="false">
      <c r="A572" s="33"/>
      <c r="B572" s="35"/>
      <c r="C572" s="35"/>
      <c r="D572" s="34"/>
      <c r="E572" s="34"/>
      <c r="F572" s="35"/>
    </row>
    <row r="573" customFormat="false" ht="15" hidden="false" customHeight="false" outlineLevel="0" collapsed="false">
      <c r="A573" s="33"/>
      <c r="B573" s="35"/>
      <c r="C573" s="35"/>
      <c r="D573" s="34"/>
      <c r="E573" s="34"/>
      <c r="F573" s="35"/>
    </row>
    <row r="574" customFormat="false" ht="15" hidden="false" customHeight="false" outlineLevel="0" collapsed="false">
      <c r="A574" s="33"/>
      <c r="B574" s="35"/>
      <c r="C574" s="35"/>
      <c r="D574" s="34"/>
      <c r="E574" s="34"/>
      <c r="F574" s="35"/>
    </row>
    <row r="575" customFormat="false" ht="15" hidden="false" customHeight="false" outlineLevel="0" collapsed="false">
      <c r="A575" s="33"/>
      <c r="B575" s="35"/>
      <c r="C575" s="35"/>
      <c r="D575" s="34"/>
      <c r="E575" s="34"/>
      <c r="F575" s="35"/>
    </row>
    <row r="576" customFormat="false" ht="15" hidden="false" customHeight="false" outlineLevel="0" collapsed="false">
      <c r="A576" s="33"/>
      <c r="B576" s="35"/>
      <c r="C576" s="35"/>
      <c r="D576" s="34"/>
      <c r="E576" s="34"/>
      <c r="F576" s="35"/>
    </row>
    <row r="577" customFormat="false" ht="15" hidden="false" customHeight="false" outlineLevel="0" collapsed="false">
      <c r="A577" s="33"/>
      <c r="B577" s="35"/>
      <c r="C577" s="35"/>
      <c r="D577" s="34"/>
      <c r="E577" s="34"/>
      <c r="F577" s="35"/>
    </row>
    <row r="578" customFormat="false" ht="15" hidden="false" customHeight="false" outlineLevel="0" collapsed="false">
      <c r="A578" s="33"/>
      <c r="B578" s="35"/>
      <c r="C578" s="35"/>
      <c r="D578" s="34"/>
      <c r="E578" s="34"/>
      <c r="F578" s="35"/>
    </row>
    <row r="579" customFormat="false" ht="15" hidden="false" customHeight="false" outlineLevel="0" collapsed="false">
      <c r="A579" s="33"/>
      <c r="B579" s="35"/>
      <c r="C579" s="35"/>
      <c r="D579" s="34"/>
      <c r="E579" s="34"/>
      <c r="F579" s="35"/>
    </row>
    <row r="580" customFormat="false" ht="15" hidden="false" customHeight="false" outlineLevel="0" collapsed="false">
      <c r="A580" s="33"/>
      <c r="B580" s="35"/>
      <c r="C580" s="35"/>
      <c r="D580" s="34"/>
      <c r="E580" s="34"/>
      <c r="F580" s="35"/>
    </row>
    <row r="581" customFormat="false" ht="15" hidden="false" customHeight="false" outlineLevel="0" collapsed="false">
      <c r="A581" s="33"/>
      <c r="B581" s="35"/>
      <c r="C581" s="35"/>
      <c r="D581" s="34"/>
      <c r="E581" s="34"/>
      <c r="F581" s="35"/>
    </row>
    <row r="582" customFormat="false" ht="15" hidden="false" customHeight="false" outlineLevel="0" collapsed="false">
      <c r="A582" s="33"/>
      <c r="B582" s="35"/>
      <c r="C582" s="35"/>
      <c r="D582" s="34"/>
      <c r="E582" s="34"/>
      <c r="F582" s="35"/>
    </row>
    <row r="583" customFormat="false" ht="15" hidden="false" customHeight="false" outlineLevel="0" collapsed="false">
      <c r="A583" s="33"/>
      <c r="B583" s="35"/>
      <c r="C583" s="35"/>
      <c r="D583" s="34"/>
      <c r="E583" s="34"/>
      <c r="F583" s="35"/>
    </row>
    <row r="584" customFormat="false" ht="15" hidden="false" customHeight="false" outlineLevel="0" collapsed="false">
      <c r="A584" s="33"/>
      <c r="B584" s="35"/>
      <c r="C584" s="35"/>
      <c r="D584" s="34"/>
      <c r="E584" s="34"/>
      <c r="F584" s="35"/>
    </row>
    <row r="585" customFormat="false" ht="15" hidden="false" customHeight="false" outlineLevel="0" collapsed="false">
      <c r="A585" s="33"/>
      <c r="B585" s="35"/>
      <c r="C585" s="35"/>
      <c r="D585" s="34"/>
      <c r="E585" s="34"/>
      <c r="F585" s="35"/>
    </row>
    <row r="586" customFormat="false" ht="15" hidden="false" customHeight="false" outlineLevel="0" collapsed="false">
      <c r="A586" s="33"/>
      <c r="B586" s="35"/>
      <c r="C586" s="35"/>
      <c r="D586" s="34"/>
      <c r="E586" s="34"/>
      <c r="F586" s="35"/>
    </row>
    <row r="587" customFormat="false" ht="15" hidden="false" customHeight="false" outlineLevel="0" collapsed="false">
      <c r="A587" s="33"/>
      <c r="B587" s="35"/>
      <c r="C587" s="35"/>
      <c r="D587" s="34"/>
      <c r="E587" s="34"/>
      <c r="F587" s="35"/>
    </row>
    <row r="588" customFormat="false" ht="15" hidden="false" customHeight="false" outlineLevel="0" collapsed="false">
      <c r="A588" s="33"/>
      <c r="B588" s="35"/>
      <c r="C588" s="35"/>
      <c r="D588" s="34"/>
      <c r="E588" s="34"/>
      <c r="F588" s="35"/>
    </row>
    <row r="589" customFormat="false" ht="15" hidden="false" customHeight="false" outlineLevel="0" collapsed="false">
      <c r="A589" s="33"/>
      <c r="B589" s="35"/>
      <c r="C589" s="35"/>
      <c r="D589" s="34"/>
      <c r="E589" s="34"/>
      <c r="F589" s="35"/>
    </row>
    <row r="590" customFormat="false" ht="15" hidden="false" customHeight="false" outlineLevel="0" collapsed="false">
      <c r="A590" s="33"/>
      <c r="B590" s="35"/>
      <c r="C590" s="35"/>
      <c r="D590" s="34"/>
      <c r="E590" s="34"/>
      <c r="F590" s="35"/>
    </row>
    <row r="591" customFormat="false" ht="15" hidden="false" customHeight="false" outlineLevel="0" collapsed="false">
      <c r="A591" s="33"/>
      <c r="B591" s="35"/>
      <c r="C591" s="35"/>
      <c r="D591" s="34"/>
      <c r="E591" s="34"/>
      <c r="F591" s="35"/>
    </row>
    <row r="592" customFormat="false" ht="15" hidden="false" customHeight="false" outlineLevel="0" collapsed="false">
      <c r="A592" s="33"/>
      <c r="B592" s="35"/>
      <c r="C592" s="35"/>
      <c r="D592" s="34"/>
      <c r="E592" s="34"/>
      <c r="F592" s="35"/>
    </row>
    <row r="593" customFormat="false" ht="15" hidden="false" customHeight="false" outlineLevel="0" collapsed="false">
      <c r="A593" s="33"/>
      <c r="B593" s="35"/>
      <c r="C593" s="35"/>
      <c r="D593" s="34"/>
      <c r="E593" s="34"/>
      <c r="F593" s="35"/>
    </row>
    <row r="594" customFormat="false" ht="15" hidden="false" customHeight="false" outlineLevel="0" collapsed="false">
      <c r="A594" s="33"/>
      <c r="B594" s="35"/>
      <c r="C594" s="35"/>
      <c r="D594" s="34"/>
      <c r="E594" s="34"/>
      <c r="F594" s="35"/>
    </row>
    <row r="595" customFormat="false" ht="15" hidden="false" customHeight="false" outlineLevel="0" collapsed="false">
      <c r="A595" s="33"/>
      <c r="B595" s="35"/>
      <c r="C595" s="35"/>
      <c r="D595" s="34"/>
      <c r="E595" s="34"/>
      <c r="F595" s="35"/>
    </row>
    <row r="596" customFormat="false" ht="15" hidden="false" customHeight="false" outlineLevel="0" collapsed="false">
      <c r="A596" s="33"/>
      <c r="B596" s="35"/>
      <c r="C596" s="35"/>
      <c r="D596" s="34"/>
      <c r="E596" s="34"/>
      <c r="F596" s="35"/>
    </row>
    <row r="597" customFormat="false" ht="15" hidden="false" customHeight="false" outlineLevel="0" collapsed="false">
      <c r="A597" s="33"/>
      <c r="B597" s="35"/>
      <c r="C597" s="35"/>
      <c r="D597" s="34"/>
      <c r="E597" s="34"/>
      <c r="F597" s="35"/>
    </row>
    <row r="598" customFormat="false" ht="15" hidden="false" customHeight="false" outlineLevel="0" collapsed="false">
      <c r="A598" s="33"/>
      <c r="B598" s="35"/>
      <c r="C598" s="35"/>
      <c r="D598" s="34"/>
      <c r="E598" s="34"/>
      <c r="F598" s="35"/>
    </row>
    <row r="599" customFormat="false" ht="15" hidden="false" customHeight="false" outlineLevel="0" collapsed="false">
      <c r="A599" s="33"/>
      <c r="B599" s="35"/>
      <c r="C599" s="35"/>
      <c r="D599" s="34"/>
      <c r="E599" s="34"/>
      <c r="F599" s="35"/>
    </row>
    <row r="600" customFormat="false" ht="15" hidden="false" customHeight="false" outlineLevel="0" collapsed="false">
      <c r="A600" s="33"/>
      <c r="B600" s="35"/>
      <c r="C600" s="35"/>
      <c r="D600" s="34"/>
      <c r="E600" s="34"/>
      <c r="F600" s="35"/>
    </row>
    <row r="601" customFormat="false" ht="15" hidden="false" customHeight="false" outlineLevel="0" collapsed="false">
      <c r="A601" s="33"/>
      <c r="B601" s="35"/>
      <c r="C601" s="35"/>
      <c r="D601" s="34"/>
      <c r="E601" s="34"/>
      <c r="F601" s="35"/>
    </row>
    <row r="602" customFormat="false" ht="15" hidden="false" customHeight="false" outlineLevel="0" collapsed="false">
      <c r="A602" s="33"/>
      <c r="B602" s="35"/>
      <c r="C602" s="35"/>
      <c r="D602" s="34"/>
      <c r="E602" s="34"/>
      <c r="F602" s="35"/>
    </row>
    <row r="603" customFormat="false" ht="15" hidden="false" customHeight="false" outlineLevel="0" collapsed="false">
      <c r="A603" s="33"/>
      <c r="B603" s="35"/>
      <c r="C603" s="35"/>
      <c r="D603" s="34"/>
      <c r="E603" s="34"/>
      <c r="F603" s="35"/>
    </row>
    <row r="604" customFormat="false" ht="15" hidden="false" customHeight="false" outlineLevel="0" collapsed="false">
      <c r="A604" s="33"/>
      <c r="B604" s="35"/>
      <c r="C604" s="35"/>
      <c r="D604" s="34"/>
      <c r="E604" s="34"/>
      <c r="F604" s="35"/>
    </row>
    <row r="605" customFormat="false" ht="15" hidden="false" customHeight="false" outlineLevel="0" collapsed="false">
      <c r="A605" s="33"/>
      <c r="B605" s="35"/>
      <c r="C605" s="35"/>
      <c r="D605" s="34"/>
      <c r="E605" s="34"/>
      <c r="F605" s="35"/>
    </row>
    <row r="606" customFormat="false" ht="15" hidden="false" customHeight="false" outlineLevel="0" collapsed="false">
      <c r="A606" s="33"/>
      <c r="B606" s="35"/>
      <c r="C606" s="35"/>
      <c r="D606" s="34"/>
      <c r="E606" s="34"/>
      <c r="F606" s="35"/>
    </row>
    <row r="607" customFormat="false" ht="15" hidden="false" customHeight="false" outlineLevel="0" collapsed="false">
      <c r="A607" s="33"/>
      <c r="B607" s="35"/>
      <c r="C607" s="35"/>
      <c r="D607" s="34"/>
      <c r="E607" s="34"/>
      <c r="F607" s="35"/>
    </row>
    <row r="608" customFormat="false" ht="15" hidden="false" customHeight="false" outlineLevel="0" collapsed="false">
      <c r="A608" s="33"/>
      <c r="B608" s="35"/>
      <c r="C608" s="35"/>
      <c r="D608" s="34"/>
      <c r="E608" s="34"/>
      <c r="F608" s="35"/>
    </row>
    <row r="609" customFormat="false" ht="15" hidden="false" customHeight="false" outlineLevel="0" collapsed="false">
      <c r="A609" s="33"/>
      <c r="B609" s="35"/>
      <c r="C609" s="35"/>
      <c r="D609" s="34"/>
      <c r="E609" s="34"/>
      <c r="F609" s="35"/>
    </row>
    <row r="610" customFormat="false" ht="15" hidden="false" customHeight="false" outlineLevel="0" collapsed="false">
      <c r="A610" s="33"/>
      <c r="B610" s="35"/>
      <c r="C610" s="35"/>
      <c r="D610" s="34"/>
      <c r="E610" s="34"/>
      <c r="F610" s="35"/>
    </row>
    <row r="611" customFormat="false" ht="15" hidden="false" customHeight="false" outlineLevel="0" collapsed="false">
      <c r="A611" s="33"/>
      <c r="B611" s="35"/>
      <c r="C611" s="35"/>
      <c r="D611" s="34"/>
      <c r="E611" s="34"/>
      <c r="F611" s="35"/>
    </row>
    <row r="612" customFormat="false" ht="15" hidden="false" customHeight="false" outlineLevel="0" collapsed="false">
      <c r="A612" s="33"/>
      <c r="B612" s="35"/>
      <c r="C612" s="35"/>
      <c r="D612" s="34"/>
      <c r="E612" s="34"/>
      <c r="F612" s="35"/>
    </row>
    <row r="613" customFormat="false" ht="15" hidden="false" customHeight="false" outlineLevel="0" collapsed="false">
      <c r="A613" s="33"/>
      <c r="B613" s="35"/>
      <c r="C613" s="35"/>
      <c r="D613" s="34"/>
      <c r="E613" s="34"/>
      <c r="F613" s="35"/>
    </row>
    <row r="614" customFormat="false" ht="15" hidden="false" customHeight="false" outlineLevel="0" collapsed="false">
      <c r="A614" s="33"/>
      <c r="B614" s="35"/>
      <c r="C614" s="35"/>
      <c r="D614" s="34"/>
      <c r="E614" s="34"/>
      <c r="F614" s="35"/>
    </row>
    <row r="615" customFormat="false" ht="15" hidden="false" customHeight="false" outlineLevel="0" collapsed="false">
      <c r="A615" s="33"/>
      <c r="B615" s="35"/>
      <c r="C615" s="35"/>
      <c r="D615" s="34"/>
      <c r="E615" s="34"/>
      <c r="F615" s="35"/>
    </row>
    <row r="616" customFormat="false" ht="15" hidden="false" customHeight="false" outlineLevel="0" collapsed="false">
      <c r="A616" s="33"/>
      <c r="B616" s="35"/>
      <c r="C616" s="35"/>
      <c r="D616" s="34"/>
      <c r="E616" s="34"/>
      <c r="F616" s="35"/>
    </row>
    <row r="617" customFormat="false" ht="15" hidden="false" customHeight="false" outlineLevel="0" collapsed="false">
      <c r="A617" s="33"/>
      <c r="B617" s="35"/>
      <c r="C617" s="35"/>
      <c r="D617" s="34"/>
      <c r="E617" s="34"/>
      <c r="F617" s="35"/>
    </row>
    <row r="618" customFormat="false" ht="15" hidden="false" customHeight="false" outlineLevel="0" collapsed="false">
      <c r="A618" s="33"/>
      <c r="B618" s="35"/>
      <c r="C618" s="35"/>
      <c r="D618" s="34"/>
      <c r="E618" s="34"/>
      <c r="F618" s="35"/>
    </row>
    <row r="619" customFormat="false" ht="15" hidden="false" customHeight="false" outlineLevel="0" collapsed="false">
      <c r="A619" s="33"/>
      <c r="B619" s="35"/>
      <c r="C619" s="35"/>
      <c r="D619" s="34"/>
      <c r="E619" s="34"/>
      <c r="F619" s="35"/>
    </row>
    <row r="620" customFormat="false" ht="15" hidden="false" customHeight="false" outlineLevel="0" collapsed="false">
      <c r="A620" s="33"/>
      <c r="B620" s="35"/>
      <c r="C620" s="35"/>
      <c r="D620" s="34"/>
      <c r="E620" s="34"/>
      <c r="F620" s="35"/>
    </row>
    <row r="621" customFormat="false" ht="15" hidden="false" customHeight="false" outlineLevel="0" collapsed="false">
      <c r="A621" s="33"/>
      <c r="B621" s="35"/>
      <c r="C621" s="35"/>
      <c r="D621" s="34"/>
      <c r="E621" s="34"/>
      <c r="F621" s="35"/>
    </row>
    <row r="622" customFormat="false" ht="15" hidden="false" customHeight="false" outlineLevel="0" collapsed="false">
      <c r="A622" s="33"/>
      <c r="B622" s="35"/>
      <c r="C622" s="35"/>
      <c r="D622" s="34"/>
      <c r="E622" s="34"/>
      <c r="F622" s="35"/>
    </row>
    <row r="623" customFormat="false" ht="15" hidden="false" customHeight="false" outlineLevel="0" collapsed="false">
      <c r="A623" s="33"/>
      <c r="B623" s="35"/>
      <c r="C623" s="35"/>
      <c r="D623" s="34"/>
      <c r="E623" s="34"/>
      <c r="F623" s="35"/>
    </row>
    <row r="624" customFormat="false" ht="15" hidden="false" customHeight="false" outlineLevel="0" collapsed="false">
      <c r="A624" s="33"/>
      <c r="B624" s="35"/>
      <c r="C624" s="35"/>
      <c r="D624" s="34"/>
      <c r="E624" s="34"/>
      <c r="F624" s="35"/>
    </row>
    <row r="625" customFormat="false" ht="15" hidden="false" customHeight="false" outlineLevel="0" collapsed="false">
      <c r="A625" s="33"/>
      <c r="B625" s="35"/>
      <c r="C625" s="35"/>
      <c r="D625" s="34"/>
      <c r="E625" s="34"/>
      <c r="F625" s="35"/>
    </row>
    <row r="626" customFormat="false" ht="15" hidden="false" customHeight="false" outlineLevel="0" collapsed="false">
      <c r="A626" s="33"/>
      <c r="B626" s="35"/>
      <c r="C626" s="35"/>
      <c r="D626" s="34"/>
      <c r="E626" s="34"/>
      <c r="F626" s="35"/>
    </row>
    <row r="627" customFormat="false" ht="15" hidden="false" customHeight="false" outlineLevel="0" collapsed="false">
      <c r="A627" s="33"/>
      <c r="B627" s="35"/>
      <c r="C627" s="35"/>
      <c r="D627" s="34"/>
      <c r="E627" s="34"/>
      <c r="F627" s="35"/>
    </row>
    <row r="628" customFormat="false" ht="15" hidden="false" customHeight="false" outlineLevel="0" collapsed="false">
      <c r="A628" s="33"/>
      <c r="B628" s="35"/>
      <c r="C628" s="35"/>
      <c r="D628" s="34"/>
      <c r="E628" s="34"/>
      <c r="F628" s="35"/>
    </row>
    <row r="629" customFormat="false" ht="15" hidden="false" customHeight="false" outlineLevel="0" collapsed="false">
      <c r="A629" s="33"/>
      <c r="B629" s="35"/>
      <c r="C629" s="35"/>
      <c r="D629" s="34"/>
      <c r="E629" s="34"/>
      <c r="F629" s="35"/>
    </row>
    <row r="630" customFormat="false" ht="15" hidden="false" customHeight="false" outlineLevel="0" collapsed="false">
      <c r="A630" s="33"/>
      <c r="B630" s="35"/>
      <c r="C630" s="35"/>
      <c r="D630" s="34"/>
      <c r="E630" s="34"/>
      <c r="F630" s="35"/>
    </row>
    <row r="631" customFormat="false" ht="15" hidden="false" customHeight="false" outlineLevel="0" collapsed="false">
      <c r="A631" s="33"/>
      <c r="B631" s="35"/>
      <c r="C631" s="35"/>
      <c r="D631" s="34"/>
      <c r="E631" s="34"/>
      <c r="F631" s="35"/>
    </row>
    <row r="632" customFormat="false" ht="15" hidden="false" customHeight="false" outlineLevel="0" collapsed="false">
      <c r="A632" s="33"/>
      <c r="B632" s="35"/>
      <c r="C632" s="35"/>
      <c r="D632" s="34"/>
      <c r="E632" s="34"/>
      <c r="F632" s="35"/>
    </row>
    <row r="633" customFormat="false" ht="15" hidden="false" customHeight="false" outlineLevel="0" collapsed="false">
      <c r="A633" s="33"/>
      <c r="B633" s="35"/>
      <c r="C633" s="35"/>
      <c r="D633" s="34"/>
      <c r="E633" s="34"/>
      <c r="F633" s="35"/>
    </row>
    <row r="634" customFormat="false" ht="15" hidden="false" customHeight="false" outlineLevel="0" collapsed="false">
      <c r="A634" s="33"/>
      <c r="B634" s="35"/>
      <c r="C634" s="35"/>
      <c r="D634" s="34"/>
      <c r="E634" s="34"/>
      <c r="F634" s="35"/>
    </row>
    <row r="635" customFormat="false" ht="15" hidden="false" customHeight="false" outlineLevel="0" collapsed="false">
      <c r="A635" s="33"/>
      <c r="B635" s="35"/>
      <c r="C635" s="35"/>
      <c r="D635" s="34"/>
      <c r="E635" s="34"/>
      <c r="F635" s="35"/>
    </row>
    <row r="636" customFormat="false" ht="15" hidden="false" customHeight="false" outlineLevel="0" collapsed="false">
      <c r="A636" s="33"/>
      <c r="B636" s="35"/>
      <c r="C636" s="35"/>
      <c r="D636" s="34"/>
      <c r="E636" s="34"/>
      <c r="F636" s="35"/>
    </row>
    <row r="637" customFormat="false" ht="15" hidden="false" customHeight="false" outlineLevel="0" collapsed="false">
      <c r="A637" s="33"/>
      <c r="B637" s="35"/>
      <c r="C637" s="35"/>
      <c r="D637" s="34"/>
      <c r="E637" s="34"/>
      <c r="F637" s="35"/>
    </row>
    <row r="638" customFormat="false" ht="15" hidden="false" customHeight="false" outlineLevel="0" collapsed="false">
      <c r="A638" s="33"/>
      <c r="B638" s="35"/>
      <c r="C638" s="35"/>
      <c r="D638" s="34"/>
      <c r="E638" s="34"/>
      <c r="F638" s="35"/>
    </row>
    <row r="639" customFormat="false" ht="15" hidden="false" customHeight="false" outlineLevel="0" collapsed="false">
      <c r="A639" s="33"/>
      <c r="B639" s="35"/>
      <c r="C639" s="35"/>
      <c r="D639" s="34"/>
      <c r="E639" s="34"/>
      <c r="F639" s="35"/>
    </row>
    <row r="640" customFormat="false" ht="15" hidden="false" customHeight="false" outlineLevel="0" collapsed="false">
      <c r="A640" s="33"/>
      <c r="B640" s="35"/>
      <c r="C640" s="35"/>
      <c r="D640" s="34"/>
      <c r="E640" s="34"/>
      <c r="F640" s="35"/>
    </row>
    <row r="641" customFormat="false" ht="15" hidden="false" customHeight="false" outlineLevel="0" collapsed="false">
      <c r="A641" s="33"/>
      <c r="B641" s="35"/>
      <c r="C641" s="35"/>
      <c r="D641" s="34"/>
      <c r="E641" s="34"/>
      <c r="F641" s="35"/>
    </row>
    <row r="642" customFormat="false" ht="15" hidden="false" customHeight="false" outlineLevel="0" collapsed="false">
      <c r="A642" s="33"/>
      <c r="B642" s="35"/>
      <c r="C642" s="35"/>
      <c r="D642" s="34"/>
      <c r="E642" s="34"/>
      <c r="F642" s="35"/>
    </row>
    <row r="643" customFormat="false" ht="15" hidden="false" customHeight="false" outlineLevel="0" collapsed="false">
      <c r="A643" s="33"/>
      <c r="B643" s="35"/>
      <c r="C643" s="35"/>
      <c r="D643" s="34"/>
      <c r="E643" s="34"/>
      <c r="F643" s="35"/>
    </row>
    <row r="644" customFormat="false" ht="15" hidden="false" customHeight="false" outlineLevel="0" collapsed="false">
      <c r="A644" s="33"/>
      <c r="B644" s="35"/>
      <c r="C644" s="35"/>
      <c r="D644" s="34"/>
      <c r="E644" s="34"/>
      <c r="F644" s="35"/>
    </row>
    <row r="645" customFormat="false" ht="15" hidden="false" customHeight="false" outlineLevel="0" collapsed="false">
      <c r="A645" s="33"/>
      <c r="B645" s="35"/>
      <c r="C645" s="35"/>
      <c r="D645" s="34"/>
      <c r="E645" s="34"/>
      <c r="F645" s="35"/>
    </row>
    <row r="646" customFormat="false" ht="15" hidden="false" customHeight="false" outlineLevel="0" collapsed="false">
      <c r="A646" s="33"/>
      <c r="B646" s="35"/>
      <c r="C646" s="35"/>
      <c r="D646" s="34"/>
      <c r="E646" s="34"/>
      <c r="F646" s="35"/>
    </row>
    <row r="647" customFormat="false" ht="15" hidden="false" customHeight="false" outlineLevel="0" collapsed="false">
      <c r="A647" s="33"/>
      <c r="B647" s="35"/>
      <c r="C647" s="35"/>
      <c r="D647" s="34"/>
      <c r="E647" s="34"/>
      <c r="F647" s="35"/>
    </row>
    <row r="648" customFormat="false" ht="15" hidden="false" customHeight="false" outlineLevel="0" collapsed="false">
      <c r="A648" s="33"/>
      <c r="B648" s="35"/>
      <c r="C648" s="35"/>
      <c r="D648" s="34"/>
      <c r="E648" s="34"/>
      <c r="F648" s="35"/>
    </row>
    <row r="649" customFormat="false" ht="15" hidden="false" customHeight="false" outlineLevel="0" collapsed="false">
      <c r="A649" s="33"/>
      <c r="B649" s="35"/>
      <c r="C649" s="35"/>
      <c r="D649" s="34"/>
      <c r="E649" s="34"/>
      <c r="F649" s="35"/>
    </row>
    <row r="650" customFormat="false" ht="15" hidden="false" customHeight="false" outlineLevel="0" collapsed="false">
      <c r="A650" s="33"/>
      <c r="B650" s="35"/>
      <c r="C650" s="35"/>
      <c r="D650" s="34"/>
      <c r="E650" s="34"/>
      <c r="F650" s="35"/>
    </row>
    <row r="651" customFormat="false" ht="15" hidden="false" customHeight="false" outlineLevel="0" collapsed="false">
      <c r="A651" s="33"/>
      <c r="B651" s="35"/>
      <c r="C651" s="35"/>
      <c r="D651" s="34"/>
      <c r="E651" s="34"/>
      <c r="F651" s="35"/>
    </row>
    <row r="652" customFormat="false" ht="15" hidden="false" customHeight="false" outlineLevel="0" collapsed="false">
      <c r="A652" s="33"/>
      <c r="B652" s="35"/>
      <c r="C652" s="35"/>
      <c r="D652" s="34"/>
      <c r="E652" s="34"/>
      <c r="F652" s="35"/>
    </row>
    <row r="653" customFormat="false" ht="15" hidden="false" customHeight="false" outlineLevel="0" collapsed="false">
      <c r="A653" s="33"/>
      <c r="B653" s="35"/>
      <c r="C653" s="35"/>
      <c r="D653" s="34"/>
      <c r="E653" s="34"/>
      <c r="F653" s="35"/>
    </row>
    <row r="654" customFormat="false" ht="15" hidden="false" customHeight="false" outlineLevel="0" collapsed="false">
      <c r="A654" s="33"/>
      <c r="B654" s="35"/>
      <c r="C654" s="35"/>
      <c r="D654" s="34"/>
      <c r="E654" s="34"/>
      <c r="F654" s="35"/>
    </row>
    <row r="655" customFormat="false" ht="15" hidden="false" customHeight="false" outlineLevel="0" collapsed="false">
      <c r="A655" s="33"/>
      <c r="B655" s="35"/>
      <c r="C655" s="35"/>
      <c r="D655" s="34"/>
      <c r="E655" s="34"/>
      <c r="F655" s="35"/>
    </row>
    <row r="656" customFormat="false" ht="15" hidden="false" customHeight="false" outlineLevel="0" collapsed="false">
      <c r="A656" s="33"/>
      <c r="B656" s="35"/>
      <c r="C656" s="35"/>
      <c r="D656" s="34"/>
      <c r="E656" s="34"/>
      <c r="F656" s="35"/>
    </row>
    <row r="657" customFormat="false" ht="15" hidden="false" customHeight="false" outlineLevel="0" collapsed="false">
      <c r="A657" s="33"/>
      <c r="B657" s="35"/>
      <c r="C657" s="35"/>
      <c r="D657" s="34"/>
      <c r="E657" s="34"/>
      <c r="F657" s="35"/>
    </row>
    <row r="658" customFormat="false" ht="15" hidden="false" customHeight="false" outlineLevel="0" collapsed="false">
      <c r="A658" s="33"/>
      <c r="B658" s="35"/>
      <c r="C658" s="35"/>
      <c r="D658" s="34"/>
      <c r="E658" s="34"/>
      <c r="F658" s="35"/>
    </row>
    <row r="659" customFormat="false" ht="15" hidden="false" customHeight="false" outlineLevel="0" collapsed="false">
      <c r="A659" s="33"/>
      <c r="B659" s="35"/>
      <c r="C659" s="35"/>
      <c r="D659" s="34"/>
      <c r="E659" s="34"/>
      <c r="F659" s="35"/>
    </row>
    <row r="660" customFormat="false" ht="15" hidden="false" customHeight="false" outlineLevel="0" collapsed="false">
      <c r="A660" s="33"/>
      <c r="B660" s="35"/>
      <c r="C660" s="35"/>
      <c r="D660" s="34"/>
      <c r="E660" s="34"/>
      <c r="F660" s="35"/>
    </row>
    <row r="661" customFormat="false" ht="15" hidden="false" customHeight="false" outlineLevel="0" collapsed="false">
      <c r="A661" s="33"/>
      <c r="B661" s="35"/>
      <c r="C661" s="35"/>
      <c r="D661" s="34"/>
      <c r="E661" s="34"/>
      <c r="F661" s="35"/>
    </row>
    <row r="662" customFormat="false" ht="15" hidden="false" customHeight="false" outlineLevel="0" collapsed="false">
      <c r="A662" s="33"/>
      <c r="B662" s="35"/>
      <c r="C662" s="35"/>
      <c r="D662" s="34"/>
      <c r="E662" s="34"/>
      <c r="F662" s="35"/>
    </row>
    <row r="663" customFormat="false" ht="15" hidden="false" customHeight="false" outlineLevel="0" collapsed="false">
      <c r="A663" s="33"/>
      <c r="B663" s="35"/>
      <c r="C663" s="35"/>
      <c r="D663" s="34"/>
      <c r="E663" s="34"/>
      <c r="F663" s="35"/>
    </row>
    <row r="664" customFormat="false" ht="15" hidden="false" customHeight="false" outlineLevel="0" collapsed="false">
      <c r="A664" s="33"/>
      <c r="B664" s="35"/>
      <c r="C664" s="35"/>
      <c r="D664" s="34"/>
      <c r="E664" s="34"/>
      <c r="F664" s="35"/>
    </row>
    <row r="665" customFormat="false" ht="15" hidden="false" customHeight="false" outlineLevel="0" collapsed="false">
      <c r="A665" s="33"/>
      <c r="B665" s="35"/>
      <c r="C665" s="35"/>
      <c r="D665" s="34"/>
      <c r="E665" s="34"/>
      <c r="F665" s="35"/>
    </row>
    <row r="666" customFormat="false" ht="15" hidden="false" customHeight="false" outlineLevel="0" collapsed="false">
      <c r="A666" s="33"/>
      <c r="B666" s="35"/>
      <c r="C666" s="35"/>
      <c r="D666" s="34"/>
      <c r="E666" s="34"/>
      <c r="F666" s="35"/>
    </row>
    <row r="667" customFormat="false" ht="15" hidden="false" customHeight="false" outlineLevel="0" collapsed="false">
      <c r="A667" s="33"/>
      <c r="B667" s="35"/>
      <c r="C667" s="35"/>
      <c r="D667" s="34"/>
      <c r="E667" s="34"/>
      <c r="F667" s="35"/>
    </row>
    <row r="668" customFormat="false" ht="15" hidden="false" customHeight="false" outlineLevel="0" collapsed="false">
      <c r="A668" s="33"/>
      <c r="B668" s="35"/>
      <c r="C668" s="35"/>
      <c r="D668" s="34"/>
      <c r="E668" s="34"/>
      <c r="F668" s="35"/>
    </row>
    <row r="669" customFormat="false" ht="15" hidden="false" customHeight="false" outlineLevel="0" collapsed="false">
      <c r="A669" s="33"/>
      <c r="B669" s="35"/>
      <c r="C669" s="35"/>
      <c r="D669" s="34"/>
      <c r="E669" s="34"/>
      <c r="F669" s="35"/>
    </row>
    <row r="670" customFormat="false" ht="15" hidden="false" customHeight="false" outlineLevel="0" collapsed="false">
      <c r="A670" s="33"/>
      <c r="B670" s="35"/>
      <c r="C670" s="35"/>
      <c r="D670" s="34"/>
      <c r="E670" s="34"/>
      <c r="F670" s="35"/>
    </row>
    <row r="671" customFormat="false" ht="15" hidden="false" customHeight="false" outlineLevel="0" collapsed="false">
      <c r="A671" s="33"/>
      <c r="B671" s="35"/>
      <c r="C671" s="35"/>
      <c r="D671" s="34"/>
      <c r="E671" s="34"/>
      <c r="F671" s="35"/>
    </row>
    <row r="672" customFormat="false" ht="15" hidden="false" customHeight="false" outlineLevel="0" collapsed="false">
      <c r="A672" s="33"/>
      <c r="B672" s="35"/>
      <c r="C672" s="35"/>
      <c r="D672" s="34"/>
      <c r="E672" s="34"/>
      <c r="F672" s="35"/>
    </row>
    <row r="673" customFormat="false" ht="15" hidden="false" customHeight="false" outlineLevel="0" collapsed="false">
      <c r="A673" s="33"/>
      <c r="B673" s="35"/>
      <c r="C673" s="35"/>
      <c r="D673" s="34"/>
      <c r="E673" s="34"/>
      <c r="F673" s="35"/>
    </row>
    <row r="674" customFormat="false" ht="15" hidden="false" customHeight="false" outlineLevel="0" collapsed="false">
      <c r="A674" s="33"/>
      <c r="B674" s="35"/>
      <c r="C674" s="35"/>
      <c r="D674" s="34"/>
      <c r="E674" s="34"/>
      <c r="F674" s="35"/>
    </row>
    <row r="675" customFormat="false" ht="15" hidden="false" customHeight="false" outlineLevel="0" collapsed="false">
      <c r="A675" s="33"/>
      <c r="B675" s="35"/>
      <c r="C675" s="35"/>
      <c r="D675" s="34"/>
      <c r="E675" s="34"/>
      <c r="F675" s="35"/>
    </row>
    <row r="676" customFormat="false" ht="15" hidden="false" customHeight="false" outlineLevel="0" collapsed="false">
      <c r="A676" s="33"/>
      <c r="B676" s="35"/>
      <c r="C676" s="35"/>
      <c r="D676" s="34"/>
      <c r="E676" s="34"/>
      <c r="F676" s="35"/>
    </row>
    <row r="677" customFormat="false" ht="15" hidden="false" customHeight="false" outlineLevel="0" collapsed="false">
      <c r="A677" s="33"/>
      <c r="B677" s="35"/>
      <c r="C677" s="35"/>
      <c r="D677" s="34"/>
      <c r="E677" s="34"/>
      <c r="F677" s="35"/>
    </row>
    <row r="678" customFormat="false" ht="15" hidden="false" customHeight="false" outlineLevel="0" collapsed="false">
      <c r="A678" s="33"/>
      <c r="B678" s="35"/>
      <c r="C678" s="35"/>
      <c r="D678" s="34"/>
      <c r="E678" s="34"/>
      <c r="F678" s="35"/>
    </row>
    <row r="679" customFormat="false" ht="15" hidden="false" customHeight="false" outlineLevel="0" collapsed="false">
      <c r="A679" s="33"/>
      <c r="B679" s="35"/>
      <c r="C679" s="35"/>
      <c r="D679" s="34"/>
      <c r="E679" s="34"/>
      <c r="F679" s="35"/>
    </row>
    <row r="680" customFormat="false" ht="15" hidden="false" customHeight="false" outlineLevel="0" collapsed="false">
      <c r="A680" s="33"/>
      <c r="B680" s="35"/>
      <c r="C680" s="35"/>
      <c r="D680" s="34"/>
      <c r="E680" s="34"/>
      <c r="F680" s="35"/>
    </row>
    <row r="681" customFormat="false" ht="15" hidden="false" customHeight="false" outlineLevel="0" collapsed="false">
      <c r="A681" s="33"/>
      <c r="B681" s="35"/>
      <c r="C681" s="35"/>
      <c r="D681" s="34"/>
      <c r="E681" s="34"/>
      <c r="F681" s="35"/>
    </row>
    <row r="682" customFormat="false" ht="15" hidden="false" customHeight="false" outlineLevel="0" collapsed="false">
      <c r="A682" s="33"/>
      <c r="B682" s="35"/>
      <c r="C682" s="35"/>
      <c r="D682" s="34"/>
      <c r="E682" s="34"/>
      <c r="F682" s="35"/>
    </row>
    <row r="683" customFormat="false" ht="15" hidden="false" customHeight="false" outlineLevel="0" collapsed="false">
      <c r="A683" s="33"/>
      <c r="B683" s="35"/>
      <c r="C683" s="35"/>
      <c r="D683" s="34"/>
      <c r="E683" s="34"/>
      <c r="F683" s="35"/>
    </row>
    <row r="684" customFormat="false" ht="15" hidden="false" customHeight="false" outlineLevel="0" collapsed="false">
      <c r="A684" s="33"/>
      <c r="B684" s="35"/>
      <c r="C684" s="35"/>
      <c r="D684" s="34"/>
      <c r="E684" s="34"/>
      <c r="F684" s="35"/>
    </row>
    <row r="685" customFormat="false" ht="15" hidden="false" customHeight="false" outlineLevel="0" collapsed="false">
      <c r="A685" s="33"/>
      <c r="B685" s="35"/>
      <c r="C685" s="35"/>
      <c r="D685" s="34"/>
      <c r="E685" s="34"/>
      <c r="F685" s="35"/>
    </row>
    <row r="686" customFormat="false" ht="15" hidden="false" customHeight="false" outlineLevel="0" collapsed="false">
      <c r="A686" s="33"/>
      <c r="B686" s="35"/>
      <c r="C686" s="35"/>
      <c r="D686" s="34"/>
      <c r="E686" s="34"/>
      <c r="F686" s="35"/>
    </row>
    <row r="687" customFormat="false" ht="15" hidden="false" customHeight="false" outlineLevel="0" collapsed="false">
      <c r="A687" s="33"/>
      <c r="B687" s="35"/>
      <c r="C687" s="35"/>
      <c r="D687" s="34"/>
      <c r="E687" s="34"/>
      <c r="F687" s="35"/>
    </row>
    <row r="688" customFormat="false" ht="15" hidden="false" customHeight="false" outlineLevel="0" collapsed="false">
      <c r="A688" s="33"/>
      <c r="B688" s="35"/>
      <c r="C688" s="35"/>
      <c r="D688" s="34"/>
      <c r="E688" s="34"/>
      <c r="F688" s="35"/>
    </row>
    <row r="689" customFormat="false" ht="15" hidden="false" customHeight="false" outlineLevel="0" collapsed="false">
      <c r="A689" s="33"/>
      <c r="B689" s="35"/>
      <c r="C689" s="35"/>
      <c r="D689" s="34"/>
      <c r="E689" s="34"/>
      <c r="F689" s="35"/>
    </row>
    <row r="690" customFormat="false" ht="15" hidden="false" customHeight="false" outlineLevel="0" collapsed="false">
      <c r="A690" s="33"/>
      <c r="B690" s="35"/>
      <c r="C690" s="35"/>
      <c r="D690" s="34"/>
      <c r="E690" s="34"/>
      <c r="F690" s="35"/>
    </row>
    <row r="691" customFormat="false" ht="15" hidden="false" customHeight="false" outlineLevel="0" collapsed="false">
      <c r="A691" s="33"/>
      <c r="B691" s="35"/>
      <c r="C691" s="35"/>
      <c r="D691" s="34"/>
      <c r="E691" s="34"/>
      <c r="F691" s="35"/>
    </row>
    <row r="692" customFormat="false" ht="15" hidden="false" customHeight="false" outlineLevel="0" collapsed="false">
      <c r="A692" s="33"/>
      <c r="B692" s="35"/>
      <c r="C692" s="35"/>
      <c r="D692" s="34"/>
      <c r="E692" s="34"/>
      <c r="F692" s="35"/>
    </row>
    <row r="693" customFormat="false" ht="15" hidden="false" customHeight="false" outlineLevel="0" collapsed="false">
      <c r="A693" s="33"/>
      <c r="B693" s="35"/>
      <c r="C693" s="35"/>
      <c r="D693" s="34"/>
      <c r="E693" s="34"/>
      <c r="F693" s="35"/>
    </row>
    <row r="694" customFormat="false" ht="15" hidden="false" customHeight="false" outlineLevel="0" collapsed="false">
      <c r="A694" s="33"/>
      <c r="B694" s="35"/>
      <c r="C694" s="35"/>
      <c r="D694" s="34"/>
      <c r="E694" s="34"/>
      <c r="F694" s="35"/>
    </row>
    <row r="695" customFormat="false" ht="15" hidden="false" customHeight="false" outlineLevel="0" collapsed="false">
      <c r="A695" s="33"/>
      <c r="B695" s="35"/>
      <c r="C695" s="35"/>
      <c r="D695" s="34"/>
      <c r="E695" s="34"/>
      <c r="F695" s="35"/>
    </row>
    <row r="696" customFormat="false" ht="15" hidden="false" customHeight="false" outlineLevel="0" collapsed="false">
      <c r="A696" s="33"/>
      <c r="B696" s="35"/>
      <c r="C696" s="35"/>
      <c r="D696" s="34"/>
      <c r="E696" s="34"/>
      <c r="F696" s="35"/>
    </row>
    <row r="697" customFormat="false" ht="15" hidden="false" customHeight="false" outlineLevel="0" collapsed="false">
      <c r="A697" s="33"/>
      <c r="B697" s="35"/>
      <c r="C697" s="35"/>
      <c r="D697" s="34"/>
      <c r="E697" s="34"/>
      <c r="F697" s="35"/>
    </row>
    <row r="698" customFormat="false" ht="15" hidden="false" customHeight="false" outlineLevel="0" collapsed="false">
      <c r="A698" s="33"/>
      <c r="B698" s="35"/>
      <c r="C698" s="35"/>
      <c r="D698" s="34"/>
      <c r="E698" s="34"/>
      <c r="F698" s="35"/>
    </row>
    <row r="699" customFormat="false" ht="15" hidden="false" customHeight="false" outlineLevel="0" collapsed="false">
      <c r="A699" s="33"/>
      <c r="B699" s="35"/>
      <c r="C699" s="35"/>
      <c r="D699" s="34"/>
      <c r="E699" s="34"/>
      <c r="F699" s="35"/>
    </row>
    <row r="700" customFormat="false" ht="15" hidden="false" customHeight="false" outlineLevel="0" collapsed="false">
      <c r="A700" s="33"/>
      <c r="B700" s="35"/>
      <c r="C700" s="35"/>
      <c r="D700" s="34"/>
      <c r="E700" s="34"/>
      <c r="F700" s="35"/>
    </row>
    <row r="701" customFormat="false" ht="15" hidden="false" customHeight="false" outlineLevel="0" collapsed="false">
      <c r="A701" s="33"/>
      <c r="B701" s="35"/>
      <c r="C701" s="35"/>
      <c r="D701" s="34"/>
      <c r="E701" s="34"/>
      <c r="F701" s="35"/>
    </row>
    <row r="702" customFormat="false" ht="15" hidden="false" customHeight="false" outlineLevel="0" collapsed="false">
      <c r="A702" s="33"/>
      <c r="B702" s="35"/>
      <c r="C702" s="35"/>
      <c r="D702" s="34"/>
      <c r="E702" s="34"/>
      <c r="F702" s="35"/>
    </row>
    <row r="703" customFormat="false" ht="15" hidden="false" customHeight="false" outlineLevel="0" collapsed="false">
      <c r="A703" s="33"/>
      <c r="B703" s="35"/>
      <c r="C703" s="35"/>
      <c r="D703" s="34"/>
      <c r="E703" s="34"/>
      <c r="F703" s="35"/>
    </row>
    <row r="704" customFormat="false" ht="15" hidden="false" customHeight="false" outlineLevel="0" collapsed="false">
      <c r="A704" s="33"/>
      <c r="B704" s="35"/>
      <c r="C704" s="35"/>
      <c r="D704" s="34"/>
      <c r="E704" s="34"/>
      <c r="F704" s="35"/>
    </row>
    <row r="705" customFormat="false" ht="15" hidden="false" customHeight="false" outlineLevel="0" collapsed="false">
      <c r="A705" s="33"/>
      <c r="B705" s="35"/>
      <c r="C705" s="35"/>
      <c r="D705" s="34"/>
      <c r="E705" s="34"/>
      <c r="F705" s="35"/>
    </row>
    <row r="706" customFormat="false" ht="15" hidden="false" customHeight="false" outlineLevel="0" collapsed="false">
      <c r="A706" s="33"/>
      <c r="B706" s="35"/>
      <c r="C706" s="35"/>
      <c r="D706" s="34"/>
      <c r="E706" s="34"/>
      <c r="F706" s="35"/>
    </row>
    <row r="707" customFormat="false" ht="15" hidden="false" customHeight="false" outlineLevel="0" collapsed="false">
      <c r="A707" s="33"/>
      <c r="B707" s="35"/>
      <c r="C707" s="35"/>
      <c r="D707" s="34"/>
      <c r="E707" s="34"/>
      <c r="F707" s="35"/>
    </row>
    <row r="708" customFormat="false" ht="15" hidden="false" customHeight="false" outlineLevel="0" collapsed="false">
      <c r="A708" s="33"/>
      <c r="B708" s="35"/>
      <c r="C708" s="35"/>
      <c r="D708" s="34"/>
      <c r="E708" s="34"/>
      <c r="F708" s="35"/>
    </row>
    <row r="709" customFormat="false" ht="15" hidden="false" customHeight="false" outlineLevel="0" collapsed="false">
      <c r="A709" s="33"/>
      <c r="B709" s="35"/>
      <c r="C709" s="35"/>
      <c r="D709" s="34"/>
      <c r="E709" s="34"/>
      <c r="F709" s="35"/>
    </row>
    <row r="710" customFormat="false" ht="15" hidden="false" customHeight="false" outlineLevel="0" collapsed="false">
      <c r="A710" s="33"/>
      <c r="B710" s="35"/>
      <c r="C710" s="35"/>
      <c r="D710" s="34"/>
      <c r="E710" s="34"/>
      <c r="F710" s="35"/>
    </row>
    <row r="711" customFormat="false" ht="15" hidden="false" customHeight="false" outlineLevel="0" collapsed="false">
      <c r="A711" s="33"/>
      <c r="B711" s="35"/>
      <c r="C711" s="35"/>
      <c r="D711" s="34"/>
      <c r="E711" s="34"/>
      <c r="F711" s="35"/>
    </row>
    <row r="712" customFormat="false" ht="15" hidden="false" customHeight="false" outlineLevel="0" collapsed="false">
      <c r="A712" s="33"/>
      <c r="B712" s="35"/>
      <c r="C712" s="35"/>
      <c r="D712" s="34"/>
      <c r="E712" s="34"/>
      <c r="F712" s="35"/>
    </row>
    <row r="713" customFormat="false" ht="15" hidden="false" customHeight="false" outlineLevel="0" collapsed="false">
      <c r="A713" s="33"/>
      <c r="B713" s="35"/>
      <c r="C713" s="35"/>
      <c r="D713" s="34"/>
      <c r="E713" s="34"/>
      <c r="F713" s="35"/>
    </row>
    <row r="714" customFormat="false" ht="15" hidden="false" customHeight="false" outlineLevel="0" collapsed="false">
      <c r="A714" s="33"/>
      <c r="B714" s="35"/>
      <c r="C714" s="35"/>
      <c r="D714" s="34"/>
      <c r="E714" s="34"/>
      <c r="F714" s="35"/>
    </row>
    <row r="715" customFormat="false" ht="15" hidden="false" customHeight="false" outlineLevel="0" collapsed="false">
      <c r="A715" s="33"/>
      <c r="B715" s="35"/>
      <c r="C715" s="35"/>
      <c r="D715" s="34"/>
      <c r="E715" s="34"/>
      <c r="F715" s="35"/>
    </row>
    <row r="716" customFormat="false" ht="15" hidden="false" customHeight="false" outlineLevel="0" collapsed="false">
      <c r="A716" s="33"/>
      <c r="B716" s="35"/>
      <c r="C716" s="35"/>
      <c r="D716" s="34"/>
      <c r="E716" s="34"/>
      <c r="F716" s="35"/>
    </row>
    <row r="717" customFormat="false" ht="15" hidden="false" customHeight="false" outlineLevel="0" collapsed="false">
      <c r="A717" s="33"/>
      <c r="B717" s="35"/>
      <c r="C717" s="35"/>
      <c r="D717" s="34"/>
      <c r="E717" s="34"/>
      <c r="F717" s="35"/>
    </row>
    <row r="718" customFormat="false" ht="15" hidden="false" customHeight="false" outlineLevel="0" collapsed="false">
      <c r="A718" s="33"/>
      <c r="B718" s="35"/>
      <c r="C718" s="35"/>
      <c r="D718" s="34"/>
      <c r="E718" s="34"/>
      <c r="F718" s="35"/>
    </row>
    <row r="719" customFormat="false" ht="15" hidden="false" customHeight="false" outlineLevel="0" collapsed="false">
      <c r="A719" s="33"/>
      <c r="B719" s="35"/>
      <c r="C719" s="35"/>
      <c r="D719" s="34"/>
      <c r="E719" s="34"/>
      <c r="F719" s="35"/>
    </row>
    <row r="720" customFormat="false" ht="15" hidden="false" customHeight="false" outlineLevel="0" collapsed="false">
      <c r="A720" s="33"/>
      <c r="B720" s="35"/>
      <c r="C720" s="35"/>
      <c r="D720" s="34"/>
      <c r="E720" s="34"/>
      <c r="F720" s="35"/>
    </row>
    <row r="721" customFormat="false" ht="15" hidden="false" customHeight="false" outlineLevel="0" collapsed="false">
      <c r="A721" s="33"/>
      <c r="B721" s="35"/>
      <c r="C721" s="35"/>
      <c r="D721" s="34"/>
      <c r="E721" s="34"/>
      <c r="F721" s="35"/>
    </row>
    <row r="722" customFormat="false" ht="15" hidden="false" customHeight="false" outlineLevel="0" collapsed="false">
      <c r="A722" s="33"/>
      <c r="B722" s="35"/>
      <c r="C722" s="35"/>
      <c r="D722" s="34"/>
      <c r="E722" s="34"/>
      <c r="F722" s="35"/>
    </row>
    <row r="723" customFormat="false" ht="15" hidden="false" customHeight="false" outlineLevel="0" collapsed="false">
      <c r="A723" s="33"/>
      <c r="B723" s="35"/>
      <c r="C723" s="35"/>
      <c r="D723" s="34"/>
      <c r="E723" s="34"/>
      <c r="F723" s="35"/>
    </row>
    <row r="724" customFormat="false" ht="15" hidden="false" customHeight="false" outlineLevel="0" collapsed="false">
      <c r="A724" s="33"/>
      <c r="B724" s="35"/>
      <c r="C724" s="35"/>
      <c r="D724" s="34"/>
      <c r="E724" s="34"/>
      <c r="F724" s="35"/>
    </row>
    <row r="725" customFormat="false" ht="15" hidden="false" customHeight="false" outlineLevel="0" collapsed="false">
      <c r="A725" s="33"/>
      <c r="B725" s="35"/>
      <c r="C725" s="35"/>
      <c r="D725" s="34"/>
      <c r="E725" s="34"/>
      <c r="F725" s="35"/>
    </row>
    <row r="726" customFormat="false" ht="15" hidden="false" customHeight="false" outlineLevel="0" collapsed="false">
      <c r="A726" s="33"/>
      <c r="B726" s="35"/>
      <c r="C726" s="35"/>
      <c r="D726" s="34"/>
      <c r="E726" s="34"/>
      <c r="F726" s="35"/>
    </row>
    <row r="727" customFormat="false" ht="15" hidden="false" customHeight="false" outlineLevel="0" collapsed="false">
      <c r="A727" s="33"/>
      <c r="B727" s="35"/>
      <c r="C727" s="35"/>
      <c r="D727" s="34"/>
      <c r="E727" s="34"/>
      <c r="F727" s="35"/>
    </row>
    <row r="728" customFormat="false" ht="15" hidden="false" customHeight="false" outlineLevel="0" collapsed="false">
      <c r="A728" s="33"/>
      <c r="B728" s="35"/>
      <c r="C728" s="35"/>
      <c r="D728" s="34"/>
      <c r="E728" s="34"/>
      <c r="F728" s="35"/>
    </row>
    <row r="729" customFormat="false" ht="15" hidden="false" customHeight="false" outlineLevel="0" collapsed="false">
      <c r="A729" s="33"/>
      <c r="B729" s="35"/>
      <c r="C729" s="35"/>
      <c r="D729" s="34"/>
      <c r="E729" s="34"/>
      <c r="F729" s="35"/>
    </row>
    <row r="730" customFormat="false" ht="15" hidden="false" customHeight="false" outlineLevel="0" collapsed="false">
      <c r="A730" s="33"/>
      <c r="B730" s="35"/>
      <c r="C730" s="35"/>
      <c r="D730" s="34"/>
      <c r="E730" s="34"/>
      <c r="F730" s="35"/>
    </row>
    <row r="731" customFormat="false" ht="15" hidden="false" customHeight="false" outlineLevel="0" collapsed="false">
      <c r="A731" s="33"/>
      <c r="B731" s="35"/>
      <c r="C731" s="35"/>
      <c r="D731" s="34"/>
      <c r="E731" s="34"/>
      <c r="F731" s="35"/>
    </row>
    <row r="732" customFormat="false" ht="15" hidden="false" customHeight="false" outlineLevel="0" collapsed="false">
      <c r="A732" s="33"/>
      <c r="B732" s="35"/>
      <c r="C732" s="35"/>
      <c r="D732" s="34"/>
      <c r="E732" s="34"/>
      <c r="F732" s="35"/>
    </row>
    <row r="733" customFormat="false" ht="15" hidden="false" customHeight="false" outlineLevel="0" collapsed="false">
      <c r="A733" s="33"/>
      <c r="B733" s="35"/>
      <c r="C733" s="35"/>
      <c r="D733" s="34"/>
      <c r="E733" s="34"/>
      <c r="F733" s="35"/>
    </row>
    <row r="734" customFormat="false" ht="15" hidden="false" customHeight="false" outlineLevel="0" collapsed="false">
      <c r="A734" s="33"/>
      <c r="B734" s="35"/>
      <c r="C734" s="35"/>
      <c r="D734" s="34"/>
      <c r="E734" s="34"/>
      <c r="F734" s="35"/>
    </row>
    <row r="735" customFormat="false" ht="15" hidden="false" customHeight="false" outlineLevel="0" collapsed="false">
      <c r="A735" s="33"/>
      <c r="B735" s="35"/>
      <c r="C735" s="35"/>
      <c r="D735" s="34"/>
      <c r="E735" s="34"/>
      <c r="F735" s="35"/>
    </row>
    <row r="736" customFormat="false" ht="15" hidden="false" customHeight="false" outlineLevel="0" collapsed="false">
      <c r="A736" s="33"/>
      <c r="B736" s="35"/>
      <c r="C736" s="35"/>
      <c r="D736" s="34"/>
      <c r="E736" s="34"/>
      <c r="F736" s="35"/>
    </row>
    <row r="737" customFormat="false" ht="15" hidden="false" customHeight="false" outlineLevel="0" collapsed="false">
      <c r="A737" s="33"/>
      <c r="B737" s="35"/>
      <c r="C737" s="35"/>
      <c r="D737" s="34"/>
      <c r="E737" s="34"/>
      <c r="F737" s="35"/>
    </row>
    <row r="738" customFormat="false" ht="15" hidden="false" customHeight="false" outlineLevel="0" collapsed="false">
      <c r="A738" s="33"/>
      <c r="B738" s="35"/>
      <c r="C738" s="35"/>
      <c r="D738" s="34"/>
      <c r="E738" s="34"/>
      <c r="F738" s="35"/>
    </row>
    <row r="739" customFormat="false" ht="15" hidden="false" customHeight="false" outlineLevel="0" collapsed="false">
      <c r="A739" s="33"/>
      <c r="B739" s="35"/>
      <c r="C739" s="35"/>
      <c r="D739" s="34"/>
      <c r="E739" s="34"/>
      <c r="F739" s="35"/>
    </row>
    <row r="740" customFormat="false" ht="15" hidden="false" customHeight="false" outlineLevel="0" collapsed="false">
      <c r="A740" s="33"/>
      <c r="B740" s="35"/>
      <c r="C740" s="35"/>
      <c r="D740" s="34"/>
      <c r="E740" s="34"/>
      <c r="F740" s="35"/>
    </row>
    <row r="741" customFormat="false" ht="15" hidden="false" customHeight="false" outlineLevel="0" collapsed="false">
      <c r="A741" s="33"/>
      <c r="B741" s="35"/>
      <c r="C741" s="35"/>
      <c r="D741" s="34"/>
      <c r="E741" s="34"/>
      <c r="F741" s="35"/>
    </row>
    <row r="742" customFormat="false" ht="15" hidden="false" customHeight="false" outlineLevel="0" collapsed="false">
      <c r="A742" s="33"/>
      <c r="B742" s="35"/>
      <c r="C742" s="35"/>
      <c r="D742" s="34"/>
      <c r="E742" s="34"/>
      <c r="F742" s="35"/>
    </row>
    <row r="743" customFormat="false" ht="15" hidden="false" customHeight="false" outlineLevel="0" collapsed="false">
      <c r="A743" s="33"/>
      <c r="B743" s="35"/>
      <c r="C743" s="35"/>
      <c r="D743" s="34"/>
      <c r="E743" s="34"/>
      <c r="F743" s="35"/>
    </row>
    <row r="744" customFormat="false" ht="15" hidden="false" customHeight="false" outlineLevel="0" collapsed="false">
      <c r="A744" s="33"/>
      <c r="B744" s="35"/>
      <c r="C744" s="35"/>
      <c r="D744" s="34"/>
      <c r="E744" s="34"/>
      <c r="F744" s="35"/>
    </row>
    <row r="745" customFormat="false" ht="15" hidden="false" customHeight="false" outlineLevel="0" collapsed="false">
      <c r="A745" s="33"/>
      <c r="B745" s="35"/>
      <c r="C745" s="35"/>
      <c r="D745" s="34"/>
      <c r="E745" s="34"/>
      <c r="F745" s="35"/>
    </row>
    <row r="746" customFormat="false" ht="15" hidden="false" customHeight="false" outlineLevel="0" collapsed="false">
      <c r="A746" s="33"/>
      <c r="B746" s="35"/>
      <c r="C746" s="35"/>
      <c r="D746" s="34"/>
      <c r="E746" s="34"/>
      <c r="F746" s="35"/>
    </row>
    <row r="747" customFormat="false" ht="15" hidden="false" customHeight="false" outlineLevel="0" collapsed="false">
      <c r="A747" s="33"/>
      <c r="B747" s="35"/>
      <c r="C747" s="35"/>
      <c r="D747" s="34"/>
      <c r="E747" s="34"/>
      <c r="F747" s="35"/>
    </row>
    <row r="748" customFormat="false" ht="15" hidden="false" customHeight="false" outlineLevel="0" collapsed="false">
      <c r="A748" s="33"/>
      <c r="B748" s="35"/>
      <c r="C748" s="35"/>
      <c r="D748" s="34"/>
      <c r="E748" s="34"/>
      <c r="F748" s="35"/>
    </row>
    <row r="749" customFormat="false" ht="15" hidden="false" customHeight="false" outlineLevel="0" collapsed="false">
      <c r="A749" s="33"/>
      <c r="B749" s="35"/>
      <c r="C749" s="35"/>
      <c r="D749" s="34"/>
      <c r="E749" s="34"/>
      <c r="F749" s="35"/>
    </row>
    <row r="750" customFormat="false" ht="15" hidden="false" customHeight="false" outlineLevel="0" collapsed="false">
      <c r="A750" s="33"/>
      <c r="B750" s="35"/>
      <c r="C750" s="35"/>
      <c r="D750" s="34"/>
      <c r="E750" s="34"/>
      <c r="F750" s="35"/>
    </row>
    <row r="751" customFormat="false" ht="15" hidden="false" customHeight="false" outlineLevel="0" collapsed="false">
      <c r="A751" s="33"/>
      <c r="B751" s="35"/>
      <c r="C751" s="35"/>
      <c r="D751" s="34"/>
      <c r="E751" s="34"/>
      <c r="F751" s="35"/>
    </row>
    <row r="752" customFormat="false" ht="15" hidden="false" customHeight="false" outlineLevel="0" collapsed="false">
      <c r="A752" s="33"/>
      <c r="B752" s="35"/>
      <c r="C752" s="35"/>
      <c r="D752" s="34"/>
      <c r="E752" s="34"/>
      <c r="F752" s="35"/>
    </row>
    <row r="753" customFormat="false" ht="15" hidden="false" customHeight="false" outlineLevel="0" collapsed="false">
      <c r="A753" s="33"/>
      <c r="B753" s="35"/>
      <c r="C753" s="35"/>
      <c r="D753" s="34"/>
      <c r="E753" s="34"/>
      <c r="F753" s="35"/>
    </row>
    <row r="754" customFormat="false" ht="15" hidden="false" customHeight="false" outlineLevel="0" collapsed="false">
      <c r="A754" s="33"/>
      <c r="B754" s="35"/>
      <c r="C754" s="35"/>
      <c r="D754" s="34"/>
      <c r="E754" s="34"/>
      <c r="F754" s="35"/>
    </row>
    <row r="755" customFormat="false" ht="15" hidden="false" customHeight="false" outlineLevel="0" collapsed="false">
      <c r="A755" s="33"/>
      <c r="B755" s="35"/>
      <c r="C755" s="35"/>
      <c r="D755" s="34"/>
      <c r="E755" s="34"/>
      <c r="F755" s="35"/>
    </row>
    <row r="756" customFormat="false" ht="15" hidden="false" customHeight="false" outlineLevel="0" collapsed="false">
      <c r="A756" s="33"/>
      <c r="B756" s="35"/>
      <c r="C756" s="35"/>
      <c r="D756" s="34"/>
      <c r="E756" s="34"/>
      <c r="F756" s="35"/>
    </row>
    <row r="757" customFormat="false" ht="15" hidden="false" customHeight="false" outlineLevel="0" collapsed="false">
      <c r="A757" s="33"/>
      <c r="B757" s="35"/>
      <c r="C757" s="35"/>
      <c r="D757" s="34"/>
      <c r="E757" s="34"/>
      <c r="F757" s="35"/>
    </row>
    <row r="758" customFormat="false" ht="15" hidden="false" customHeight="false" outlineLevel="0" collapsed="false">
      <c r="A758" s="33"/>
      <c r="B758" s="35"/>
      <c r="C758" s="35"/>
      <c r="D758" s="34"/>
      <c r="E758" s="34"/>
      <c r="F758" s="35"/>
    </row>
    <row r="759" customFormat="false" ht="15" hidden="false" customHeight="false" outlineLevel="0" collapsed="false">
      <c r="A759" s="33"/>
      <c r="B759" s="35"/>
      <c r="C759" s="35"/>
      <c r="D759" s="34"/>
      <c r="E759" s="34"/>
      <c r="F759" s="35"/>
    </row>
    <row r="760" customFormat="false" ht="15" hidden="false" customHeight="false" outlineLevel="0" collapsed="false">
      <c r="A760" s="33"/>
      <c r="B760" s="35"/>
      <c r="C760" s="35"/>
      <c r="D760" s="34"/>
      <c r="E760" s="34"/>
      <c r="F760" s="35"/>
    </row>
    <row r="761" customFormat="false" ht="15" hidden="false" customHeight="false" outlineLevel="0" collapsed="false">
      <c r="A761" s="33"/>
      <c r="B761" s="35"/>
      <c r="C761" s="35"/>
      <c r="D761" s="34"/>
      <c r="E761" s="34"/>
      <c r="F761" s="35"/>
    </row>
    <row r="762" customFormat="false" ht="15" hidden="false" customHeight="false" outlineLevel="0" collapsed="false">
      <c r="A762" s="33"/>
      <c r="B762" s="35"/>
      <c r="C762" s="35"/>
      <c r="D762" s="34"/>
      <c r="E762" s="34"/>
      <c r="F762" s="35"/>
    </row>
    <row r="763" customFormat="false" ht="15" hidden="false" customHeight="false" outlineLevel="0" collapsed="false">
      <c r="A763" s="33"/>
      <c r="B763" s="35"/>
      <c r="C763" s="35"/>
      <c r="D763" s="34"/>
      <c r="E763" s="34"/>
      <c r="F763" s="35"/>
    </row>
    <row r="764" customFormat="false" ht="15" hidden="false" customHeight="false" outlineLevel="0" collapsed="false">
      <c r="A764" s="33"/>
      <c r="B764" s="35"/>
      <c r="C764" s="35"/>
      <c r="D764" s="34"/>
      <c r="E764" s="34"/>
      <c r="F764" s="35"/>
    </row>
    <row r="765" customFormat="false" ht="15" hidden="false" customHeight="false" outlineLevel="0" collapsed="false">
      <c r="A765" s="33"/>
      <c r="B765" s="35"/>
      <c r="C765" s="35"/>
      <c r="D765" s="34"/>
      <c r="E765" s="34"/>
      <c r="F765" s="35"/>
    </row>
    <row r="766" customFormat="false" ht="15" hidden="false" customHeight="false" outlineLevel="0" collapsed="false">
      <c r="A766" s="33"/>
      <c r="B766" s="35"/>
      <c r="C766" s="35"/>
      <c r="D766" s="34"/>
      <c r="E766" s="34"/>
      <c r="F766" s="35"/>
    </row>
    <row r="767" customFormat="false" ht="15" hidden="false" customHeight="false" outlineLevel="0" collapsed="false">
      <c r="A767" s="33"/>
      <c r="B767" s="35"/>
      <c r="C767" s="35"/>
      <c r="D767" s="34"/>
      <c r="E767" s="34"/>
      <c r="F767" s="35"/>
    </row>
    <row r="768" customFormat="false" ht="15" hidden="false" customHeight="false" outlineLevel="0" collapsed="false">
      <c r="A768" s="33"/>
      <c r="B768" s="35"/>
      <c r="C768" s="35"/>
      <c r="D768" s="34"/>
      <c r="E768" s="34"/>
      <c r="F768" s="35"/>
    </row>
    <row r="769" customFormat="false" ht="15" hidden="false" customHeight="false" outlineLevel="0" collapsed="false">
      <c r="A769" s="33"/>
      <c r="B769" s="35"/>
      <c r="C769" s="35"/>
      <c r="D769" s="34"/>
      <c r="E769" s="34"/>
      <c r="F769" s="35"/>
    </row>
    <row r="770" customFormat="false" ht="15" hidden="false" customHeight="false" outlineLevel="0" collapsed="false">
      <c r="A770" s="33"/>
      <c r="B770" s="35"/>
      <c r="C770" s="35"/>
      <c r="D770" s="34"/>
      <c r="E770" s="34"/>
      <c r="F770" s="35"/>
    </row>
    <row r="771" customFormat="false" ht="15" hidden="false" customHeight="false" outlineLevel="0" collapsed="false">
      <c r="A771" s="33"/>
      <c r="B771" s="35"/>
      <c r="C771" s="35"/>
      <c r="D771" s="34"/>
      <c r="E771" s="34"/>
      <c r="F771" s="35"/>
    </row>
    <row r="772" customFormat="false" ht="15" hidden="false" customHeight="false" outlineLevel="0" collapsed="false">
      <c r="A772" s="33"/>
      <c r="B772" s="35"/>
      <c r="C772" s="35"/>
      <c r="D772" s="34"/>
      <c r="E772" s="34"/>
      <c r="F772" s="35"/>
    </row>
    <row r="773" customFormat="false" ht="15" hidden="false" customHeight="false" outlineLevel="0" collapsed="false">
      <c r="A773" s="33"/>
      <c r="B773" s="35"/>
      <c r="C773" s="35"/>
      <c r="D773" s="34"/>
      <c r="E773" s="34"/>
      <c r="F773" s="35"/>
    </row>
    <row r="774" customFormat="false" ht="15" hidden="false" customHeight="false" outlineLevel="0" collapsed="false">
      <c r="A774" s="33"/>
      <c r="B774" s="35"/>
      <c r="C774" s="35"/>
      <c r="D774" s="34"/>
      <c r="E774" s="34"/>
      <c r="F774" s="35"/>
    </row>
    <row r="775" customFormat="false" ht="15" hidden="false" customHeight="false" outlineLevel="0" collapsed="false">
      <c r="A775" s="33"/>
      <c r="B775" s="35"/>
      <c r="C775" s="35"/>
      <c r="D775" s="34"/>
      <c r="E775" s="34"/>
      <c r="F775" s="35"/>
    </row>
    <row r="776" customFormat="false" ht="15" hidden="false" customHeight="false" outlineLevel="0" collapsed="false">
      <c r="A776" s="33"/>
      <c r="B776" s="35"/>
      <c r="C776" s="35"/>
      <c r="D776" s="34"/>
      <c r="E776" s="34"/>
      <c r="F776" s="35"/>
    </row>
    <row r="777" customFormat="false" ht="15" hidden="false" customHeight="false" outlineLevel="0" collapsed="false">
      <c r="A777" s="33"/>
      <c r="B777" s="35"/>
      <c r="C777" s="35"/>
      <c r="D777" s="34"/>
      <c r="E777" s="34"/>
      <c r="F777" s="35"/>
    </row>
    <row r="778" customFormat="false" ht="15" hidden="false" customHeight="false" outlineLevel="0" collapsed="false">
      <c r="A778" s="33"/>
      <c r="B778" s="35"/>
      <c r="C778" s="35"/>
      <c r="D778" s="34"/>
      <c r="E778" s="34"/>
      <c r="F778" s="35"/>
    </row>
    <row r="779" customFormat="false" ht="15" hidden="false" customHeight="false" outlineLevel="0" collapsed="false">
      <c r="A779" s="33"/>
      <c r="B779" s="35"/>
      <c r="C779" s="35"/>
      <c r="D779" s="34"/>
      <c r="E779" s="34"/>
      <c r="F779" s="35"/>
    </row>
    <row r="780" customFormat="false" ht="15" hidden="false" customHeight="false" outlineLevel="0" collapsed="false">
      <c r="A780" s="33"/>
      <c r="B780" s="35"/>
      <c r="C780" s="35"/>
      <c r="D780" s="34"/>
      <c r="E780" s="34"/>
      <c r="F780" s="35"/>
    </row>
    <row r="781" customFormat="false" ht="15" hidden="false" customHeight="false" outlineLevel="0" collapsed="false">
      <c r="A781" s="33"/>
      <c r="B781" s="35"/>
      <c r="C781" s="35"/>
      <c r="D781" s="34"/>
      <c r="E781" s="34"/>
      <c r="F781" s="35"/>
    </row>
    <row r="782" customFormat="false" ht="15" hidden="false" customHeight="false" outlineLevel="0" collapsed="false">
      <c r="A782" s="33"/>
      <c r="B782" s="35"/>
      <c r="C782" s="35"/>
      <c r="D782" s="34"/>
      <c r="E782" s="34"/>
      <c r="F782" s="35"/>
    </row>
    <row r="783" customFormat="false" ht="15" hidden="false" customHeight="false" outlineLevel="0" collapsed="false">
      <c r="A783" s="33"/>
      <c r="B783" s="35"/>
      <c r="C783" s="35"/>
      <c r="D783" s="34"/>
      <c r="E783" s="34"/>
      <c r="F783" s="35"/>
    </row>
    <row r="784" customFormat="false" ht="15" hidden="false" customHeight="false" outlineLevel="0" collapsed="false">
      <c r="A784" s="33"/>
      <c r="B784" s="35"/>
      <c r="C784" s="35"/>
      <c r="D784" s="34"/>
      <c r="E784" s="34"/>
      <c r="F784" s="35"/>
    </row>
    <row r="785" customFormat="false" ht="15" hidden="false" customHeight="false" outlineLevel="0" collapsed="false">
      <c r="A785" s="33"/>
      <c r="B785" s="35"/>
      <c r="C785" s="35"/>
      <c r="D785" s="34"/>
      <c r="E785" s="34"/>
      <c r="F785" s="35"/>
    </row>
    <row r="786" customFormat="false" ht="15" hidden="false" customHeight="false" outlineLevel="0" collapsed="false">
      <c r="A786" s="33"/>
      <c r="B786" s="35"/>
      <c r="C786" s="35"/>
      <c r="D786" s="34"/>
      <c r="E786" s="34"/>
      <c r="F786" s="35"/>
    </row>
    <row r="787" customFormat="false" ht="15" hidden="false" customHeight="false" outlineLevel="0" collapsed="false">
      <c r="A787" s="33"/>
      <c r="B787" s="35"/>
      <c r="C787" s="35"/>
      <c r="D787" s="34"/>
      <c r="E787" s="34"/>
      <c r="F787" s="35"/>
    </row>
    <row r="788" customFormat="false" ht="15" hidden="false" customHeight="false" outlineLevel="0" collapsed="false">
      <c r="A788" s="33"/>
      <c r="B788" s="35"/>
      <c r="C788" s="35"/>
      <c r="D788" s="34"/>
      <c r="E788" s="34"/>
      <c r="F788" s="35"/>
    </row>
    <row r="789" customFormat="false" ht="15" hidden="false" customHeight="false" outlineLevel="0" collapsed="false">
      <c r="A789" s="33"/>
      <c r="B789" s="35"/>
      <c r="C789" s="35"/>
      <c r="D789" s="34"/>
      <c r="E789" s="34"/>
      <c r="F789" s="35"/>
    </row>
    <row r="790" customFormat="false" ht="15" hidden="false" customHeight="false" outlineLevel="0" collapsed="false">
      <c r="A790" s="33"/>
      <c r="B790" s="35"/>
      <c r="C790" s="35"/>
      <c r="D790" s="34"/>
      <c r="E790" s="34"/>
      <c r="F790" s="35"/>
    </row>
    <row r="791" customFormat="false" ht="15" hidden="false" customHeight="false" outlineLevel="0" collapsed="false">
      <c r="A791" s="33"/>
      <c r="B791" s="35"/>
      <c r="C791" s="35"/>
      <c r="D791" s="34"/>
      <c r="E791" s="34"/>
      <c r="F791" s="35"/>
    </row>
    <row r="792" customFormat="false" ht="15" hidden="false" customHeight="false" outlineLevel="0" collapsed="false">
      <c r="A792" s="33"/>
      <c r="B792" s="35"/>
      <c r="C792" s="35"/>
      <c r="D792" s="34"/>
      <c r="E792" s="34"/>
      <c r="F792" s="35"/>
    </row>
    <row r="793" customFormat="false" ht="15" hidden="false" customHeight="false" outlineLevel="0" collapsed="false">
      <c r="A793" s="33"/>
      <c r="B793" s="35"/>
      <c r="C793" s="35"/>
      <c r="D793" s="34"/>
      <c r="E793" s="34"/>
      <c r="F793" s="35"/>
    </row>
    <row r="794" customFormat="false" ht="15" hidden="false" customHeight="false" outlineLevel="0" collapsed="false">
      <c r="A794" s="33"/>
      <c r="B794" s="35"/>
      <c r="C794" s="35"/>
      <c r="D794" s="34"/>
      <c r="E794" s="34"/>
      <c r="F794" s="35"/>
    </row>
    <row r="795" customFormat="false" ht="15" hidden="false" customHeight="false" outlineLevel="0" collapsed="false">
      <c r="A795" s="33"/>
      <c r="B795" s="35"/>
      <c r="C795" s="35"/>
      <c r="D795" s="34"/>
      <c r="E795" s="34"/>
      <c r="F795" s="35"/>
    </row>
    <row r="796" customFormat="false" ht="15" hidden="false" customHeight="false" outlineLevel="0" collapsed="false">
      <c r="A796" s="33"/>
      <c r="B796" s="35"/>
      <c r="C796" s="35"/>
      <c r="D796" s="34"/>
      <c r="E796" s="34"/>
      <c r="F796" s="35"/>
    </row>
    <row r="797" customFormat="false" ht="15" hidden="false" customHeight="false" outlineLevel="0" collapsed="false">
      <c r="A797" s="33"/>
      <c r="B797" s="35"/>
      <c r="C797" s="35"/>
      <c r="D797" s="34"/>
      <c r="E797" s="34"/>
      <c r="F797" s="35"/>
    </row>
    <row r="798" customFormat="false" ht="15" hidden="false" customHeight="false" outlineLevel="0" collapsed="false">
      <c r="A798" s="33"/>
      <c r="B798" s="35"/>
      <c r="C798" s="35"/>
      <c r="D798" s="34"/>
      <c r="E798" s="34"/>
      <c r="F798" s="35"/>
    </row>
    <row r="799" customFormat="false" ht="15" hidden="false" customHeight="false" outlineLevel="0" collapsed="false">
      <c r="A799" s="33"/>
      <c r="B799" s="35"/>
      <c r="C799" s="35"/>
      <c r="D799" s="34"/>
      <c r="E799" s="34"/>
      <c r="F799" s="35"/>
    </row>
    <row r="800" customFormat="false" ht="15" hidden="false" customHeight="false" outlineLevel="0" collapsed="false">
      <c r="A800" s="33"/>
      <c r="B800" s="35"/>
      <c r="C800" s="35"/>
      <c r="D800" s="34"/>
      <c r="E800" s="34"/>
      <c r="F800" s="35"/>
    </row>
    <row r="801" customFormat="false" ht="15" hidden="false" customHeight="false" outlineLevel="0" collapsed="false">
      <c r="A801" s="33"/>
      <c r="B801" s="35"/>
      <c r="C801" s="35"/>
      <c r="D801" s="34"/>
      <c r="E801" s="34"/>
      <c r="F801" s="35"/>
    </row>
    <row r="802" customFormat="false" ht="15" hidden="false" customHeight="false" outlineLevel="0" collapsed="false">
      <c r="A802" s="33"/>
      <c r="B802" s="35"/>
      <c r="C802" s="35"/>
      <c r="D802" s="34"/>
      <c r="E802" s="34"/>
      <c r="F802" s="35"/>
    </row>
    <row r="803" customFormat="false" ht="15" hidden="false" customHeight="false" outlineLevel="0" collapsed="false">
      <c r="A803" s="33"/>
      <c r="B803" s="35"/>
      <c r="C803" s="35"/>
      <c r="D803" s="34"/>
      <c r="E803" s="34"/>
      <c r="F803" s="35"/>
    </row>
    <row r="804" customFormat="false" ht="15" hidden="false" customHeight="false" outlineLevel="0" collapsed="false">
      <c r="A804" s="33"/>
      <c r="B804" s="35"/>
      <c r="C804" s="35"/>
      <c r="D804" s="34"/>
      <c r="E804" s="34"/>
      <c r="F804" s="35"/>
    </row>
    <row r="805" customFormat="false" ht="15" hidden="false" customHeight="false" outlineLevel="0" collapsed="false">
      <c r="A805" s="33"/>
      <c r="B805" s="35"/>
      <c r="C805" s="35"/>
      <c r="D805" s="34"/>
      <c r="E805" s="34"/>
      <c r="F805" s="35"/>
    </row>
    <row r="806" customFormat="false" ht="15" hidden="false" customHeight="false" outlineLevel="0" collapsed="false">
      <c r="A806" s="33"/>
      <c r="B806" s="35"/>
      <c r="C806" s="35"/>
      <c r="D806" s="34"/>
      <c r="E806" s="34"/>
      <c r="F806" s="35"/>
    </row>
    <row r="807" customFormat="false" ht="15" hidden="false" customHeight="false" outlineLevel="0" collapsed="false">
      <c r="A807" s="33"/>
      <c r="B807" s="35"/>
      <c r="C807" s="35"/>
      <c r="D807" s="34"/>
      <c r="E807" s="34"/>
      <c r="F807" s="35"/>
    </row>
    <row r="808" customFormat="false" ht="15" hidden="false" customHeight="false" outlineLevel="0" collapsed="false">
      <c r="A808" s="33"/>
      <c r="B808" s="35"/>
      <c r="C808" s="35"/>
      <c r="D808" s="34"/>
      <c r="E808" s="34"/>
      <c r="F808" s="35"/>
    </row>
    <row r="809" customFormat="false" ht="15" hidden="false" customHeight="false" outlineLevel="0" collapsed="false">
      <c r="A809" s="33"/>
      <c r="B809" s="35"/>
      <c r="C809" s="35"/>
      <c r="D809" s="34"/>
      <c r="E809" s="34"/>
      <c r="F809" s="35"/>
    </row>
    <row r="810" customFormat="false" ht="15" hidden="false" customHeight="false" outlineLevel="0" collapsed="false">
      <c r="A810" s="33"/>
      <c r="B810" s="35"/>
      <c r="C810" s="35"/>
      <c r="D810" s="34"/>
      <c r="E810" s="34"/>
      <c r="F810" s="35"/>
    </row>
    <row r="811" customFormat="false" ht="15" hidden="false" customHeight="false" outlineLevel="0" collapsed="false">
      <c r="A811" s="33"/>
      <c r="B811" s="35"/>
      <c r="C811" s="35"/>
      <c r="D811" s="34"/>
      <c r="E811" s="34"/>
      <c r="F811" s="35"/>
    </row>
    <row r="812" customFormat="false" ht="15" hidden="false" customHeight="false" outlineLevel="0" collapsed="false">
      <c r="A812" s="33"/>
      <c r="B812" s="35"/>
      <c r="C812" s="35"/>
      <c r="D812" s="34"/>
      <c r="E812" s="34"/>
      <c r="F812" s="35"/>
    </row>
    <row r="813" customFormat="false" ht="15" hidden="false" customHeight="false" outlineLevel="0" collapsed="false">
      <c r="A813" s="33"/>
      <c r="B813" s="35"/>
      <c r="C813" s="35"/>
      <c r="D813" s="34"/>
      <c r="E813" s="34"/>
      <c r="F813" s="35"/>
    </row>
    <row r="814" customFormat="false" ht="15" hidden="false" customHeight="false" outlineLevel="0" collapsed="false">
      <c r="A814" s="33"/>
      <c r="B814" s="35"/>
      <c r="C814" s="35"/>
      <c r="D814" s="34"/>
      <c r="E814" s="34"/>
      <c r="F814" s="35"/>
    </row>
    <row r="815" customFormat="false" ht="15" hidden="false" customHeight="false" outlineLevel="0" collapsed="false">
      <c r="A815" s="33"/>
      <c r="B815" s="35"/>
      <c r="C815" s="35"/>
      <c r="D815" s="34"/>
      <c r="E815" s="34"/>
      <c r="F815" s="35"/>
    </row>
    <row r="816" customFormat="false" ht="15" hidden="false" customHeight="false" outlineLevel="0" collapsed="false">
      <c r="A816" s="33"/>
      <c r="B816" s="35"/>
      <c r="C816" s="35"/>
      <c r="D816" s="34"/>
      <c r="E816" s="34"/>
      <c r="F816" s="35"/>
    </row>
    <row r="817" customFormat="false" ht="15" hidden="false" customHeight="false" outlineLevel="0" collapsed="false">
      <c r="A817" s="33"/>
      <c r="B817" s="35"/>
      <c r="C817" s="35"/>
      <c r="D817" s="34"/>
      <c r="E817" s="34"/>
      <c r="F817" s="35"/>
    </row>
    <row r="818" customFormat="false" ht="15" hidden="false" customHeight="false" outlineLevel="0" collapsed="false">
      <c r="A818" s="33"/>
      <c r="B818" s="35"/>
      <c r="C818" s="35"/>
      <c r="D818" s="34"/>
      <c r="E818" s="34"/>
      <c r="F818" s="35"/>
    </row>
    <row r="819" customFormat="false" ht="15" hidden="false" customHeight="false" outlineLevel="0" collapsed="false">
      <c r="A819" s="33"/>
      <c r="B819" s="35"/>
      <c r="C819" s="35"/>
      <c r="D819" s="34"/>
      <c r="E819" s="34"/>
      <c r="F819" s="35"/>
    </row>
    <row r="820" customFormat="false" ht="15" hidden="false" customHeight="false" outlineLevel="0" collapsed="false">
      <c r="A820" s="33"/>
      <c r="B820" s="35"/>
      <c r="C820" s="35"/>
      <c r="D820" s="34"/>
      <c r="E820" s="34"/>
      <c r="F820" s="35"/>
    </row>
    <row r="821" customFormat="false" ht="15" hidden="false" customHeight="false" outlineLevel="0" collapsed="false">
      <c r="A821" s="33"/>
      <c r="B821" s="35"/>
      <c r="C821" s="35"/>
      <c r="D821" s="34"/>
      <c r="E821" s="34"/>
      <c r="F821" s="35"/>
    </row>
    <row r="822" customFormat="false" ht="15" hidden="false" customHeight="false" outlineLevel="0" collapsed="false">
      <c r="A822" s="33"/>
      <c r="B822" s="35"/>
      <c r="C822" s="35"/>
      <c r="D822" s="34"/>
      <c r="E822" s="34"/>
      <c r="F822" s="35"/>
    </row>
    <row r="823" customFormat="false" ht="15" hidden="false" customHeight="false" outlineLevel="0" collapsed="false">
      <c r="A823" s="33"/>
      <c r="B823" s="35"/>
      <c r="C823" s="35"/>
      <c r="D823" s="34"/>
      <c r="E823" s="34"/>
      <c r="F823" s="35"/>
    </row>
    <row r="824" customFormat="false" ht="15" hidden="false" customHeight="false" outlineLevel="0" collapsed="false">
      <c r="A824" s="33"/>
      <c r="B824" s="35"/>
      <c r="C824" s="35"/>
      <c r="D824" s="34"/>
      <c r="E824" s="34"/>
      <c r="F824" s="35"/>
    </row>
    <row r="825" customFormat="false" ht="15" hidden="false" customHeight="false" outlineLevel="0" collapsed="false">
      <c r="A825" s="33"/>
      <c r="B825" s="35"/>
      <c r="C825" s="35"/>
      <c r="D825" s="34"/>
      <c r="E825" s="34"/>
      <c r="F825" s="35"/>
    </row>
    <row r="826" customFormat="false" ht="15" hidden="false" customHeight="false" outlineLevel="0" collapsed="false">
      <c r="A826" s="33"/>
      <c r="B826" s="35"/>
      <c r="C826" s="35"/>
      <c r="D826" s="34"/>
      <c r="E826" s="34"/>
      <c r="F826" s="35"/>
    </row>
    <row r="827" customFormat="false" ht="15" hidden="false" customHeight="false" outlineLevel="0" collapsed="false">
      <c r="A827" s="33"/>
      <c r="B827" s="35"/>
      <c r="C827" s="35"/>
      <c r="D827" s="34"/>
      <c r="E827" s="34"/>
      <c r="F827" s="35"/>
    </row>
    <row r="828" customFormat="false" ht="15" hidden="false" customHeight="false" outlineLevel="0" collapsed="false">
      <c r="A828" s="33"/>
      <c r="B828" s="35"/>
      <c r="C828" s="35"/>
      <c r="D828" s="34"/>
      <c r="E828" s="34"/>
      <c r="F828" s="35"/>
    </row>
    <row r="829" customFormat="false" ht="15" hidden="false" customHeight="false" outlineLevel="0" collapsed="false">
      <c r="A829" s="33"/>
      <c r="B829" s="35"/>
      <c r="C829" s="35"/>
      <c r="D829" s="34"/>
      <c r="E829" s="34"/>
      <c r="F829" s="35"/>
    </row>
    <row r="830" customFormat="false" ht="15" hidden="false" customHeight="false" outlineLevel="0" collapsed="false">
      <c r="A830" s="33"/>
      <c r="B830" s="35"/>
      <c r="C830" s="35"/>
      <c r="D830" s="34"/>
      <c r="E830" s="34"/>
      <c r="F830" s="35"/>
    </row>
    <row r="831" customFormat="false" ht="15" hidden="false" customHeight="false" outlineLevel="0" collapsed="false">
      <c r="A831" s="33"/>
      <c r="B831" s="35"/>
      <c r="C831" s="35"/>
      <c r="D831" s="34"/>
      <c r="E831" s="34"/>
      <c r="F831" s="35"/>
    </row>
    <row r="832" customFormat="false" ht="15" hidden="false" customHeight="false" outlineLevel="0" collapsed="false">
      <c r="A832" s="33"/>
      <c r="B832" s="35"/>
      <c r="C832" s="35"/>
      <c r="D832" s="34"/>
      <c r="E832" s="34"/>
      <c r="F832" s="35"/>
    </row>
    <row r="833" customFormat="false" ht="15" hidden="false" customHeight="false" outlineLevel="0" collapsed="false">
      <c r="A833" s="33"/>
      <c r="B833" s="35"/>
      <c r="C833" s="35"/>
      <c r="D833" s="34"/>
      <c r="E833" s="34"/>
      <c r="F833" s="35"/>
    </row>
    <row r="834" customFormat="false" ht="15" hidden="false" customHeight="false" outlineLevel="0" collapsed="false">
      <c r="A834" s="33"/>
      <c r="B834" s="35"/>
      <c r="C834" s="35"/>
      <c r="D834" s="34"/>
      <c r="E834" s="34"/>
      <c r="F834" s="35"/>
    </row>
    <row r="835" customFormat="false" ht="15" hidden="false" customHeight="false" outlineLevel="0" collapsed="false">
      <c r="A835" s="33"/>
      <c r="B835" s="35"/>
      <c r="C835" s="35"/>
      <c r="D835" s="34"/>
      <c r="E835" s="34"/>
      <c r="F835" s="35"/>
    </row>
    <row r="836" customFormat="false" ht="15" hidden="false" customHeight="false" outlineLevel="0" collapsed="false">
      <c r="A836" s="33"/>
      <c r="B836" s="35"/>
      <c r="C836" s="35"/>
      <c r="D836" s="34"/>
      <c r="E836" s="34"/>
      <c r="F836" s="35"/>
    </row>
    <row r="837" customFormat="false" ht="15" hidden="false" customHeight="false" outlineLevel="0" collapsed="false">
      <c r="A837" s="33"/>
      <c r="B837" s="35"/>
      <c r="C837" s="35"/>
      <c r="D837" s="34"/>
      <c r="E837" s="34"/>
      <c r="F837" s="35"/>
    </row>
    <row r="838" customFormat="false" ht="15" hidden="false" customHeight="false" outlineLevel="0" collapsed="false">
      <c r="A838" s="33"/>
      <c r="B838" s="35"/>
      <c r="C838" s="35"/>
      <c r="D838" s="34"/>
      <c r="E838" s="34"/>
      <c r="F838" s="35"/>
    </row>
    <row r="839" customFormat="false" ht="15" hidden="false" customHeight="false" outlineLevel="0" collapsed="false">
      <c r="A839" s="33"/>
      <c r="B839" s="35"/>
      <c r="C839" s="35"/>
      <c r="D839" s="34"/>
      <c r="E839" s="34"/>
      <c r="F839" s="35"/>
    </row>
    <row r="840" customFormat="false" ht="15" hidden="false" customHeight="false" outlineLevel="0" collapsed="false">
      <c r="A840" s="33"/>
      <c r="B840" s="35"/>
      <c r="C840" s="35"/>
      <c r="D840" s="34"/>
      <c r="E840" s="34"/>
      <c r="F840" s="35"/>
    </row>
    <row r="841" customFormat="false" ht="15" hidden="false" customHeight="false" outlineLevel="0" collapsed="false">
      <c r="A841" s="33"/>
      <c r="B841" s="35"/>
      <c r="C841" s="35"/>
      <c r="D841" s="34"/>
      <c r="E841" s="34"/>
      <c r="F841" s="35"/>
    </row>
    <row r="842" customFormat="false" ht="15" hidden="false" customHeight="false" outlineLevel="0" collapsed="false">
      <c r="A842" s="33"/>
      <c r="B842" s="35"/>
      <c r="C842" s="35"/>
      <c r="D842" s="34"/>
      <c r="E842" s="34"/>
      <c r="F842" s="35"/>
    </row>
    <row r="843" customFormat="false" ht="15" hidden="false" customHeight="false" outlineLevel="0" collapsed="false">
      <c r="A843" s="33"/>
      <c r="B843" s="35"/>
      <c r="C843" s="35"/>
      <c r="D843" s="34"/>
      <c r="E843" s="34"/>
      <c r="F843" s="35"/>
    </row>
    <row r="844" customFormat="false" ht="15" hidden="false" customHeight="false" outlineLevel="0" collapsed="false">
      <c r="A844" s="33"/>
      <c r="B844" s="35"/>
      <c r="C844" s="35"/>
      <c r="D844" s="34"/>
      <c r="E844" s="34"/>
      <c r="F844" s="35"/>
    </row>
    <row r="845" customFormat="false" ht="15" hidden="false" customHeight="false" outlineLevel="0" collapsed="false">
      <c r="A845" s="33"/>
      <c r="B845" s="35"/>
      <c r="C845" s="35"/>
      <c r="D845" s="34"/>
      <c r="E845" s="34"/>
      <c r="F845" s="35"/>
    </row>
    <row r="846" customFormat="false" ht="15" hidden="false" customHeight="false" outlineLevel="0" collapsed="false">
      <c r="A846" s="33"/>
      <c r="B846" s="35"/>
      <c r="C846" s="35"/>
      <c r="D846" s="34"/>
      <c r="E846" s="34"/>
      <c r="F846" s="35"/>
    </row>
    <row r="847" customFormat="false" ht="15" hidden="false" customHeight="false" outlineLevel="0" collapsed="false">
      <c r="A847" s="33"/>
      <c r="B847" s="35"/>
      <c r="C847" s="35"/>
      <c r="D847" s="34"/>
      <c r="E847" s="34"/>
      <c r="F847" s="35"/>
    </row>
    <row r="848" customFormat="false" ht="15" hidden="false" customHeight="false" outlineLevel="0" collapsed="false">
      <c r="A848" s="33"/>
      <c r="B848" s="35"/>
      <c r="C848" s="35"/>
      <c r="D848" s="34"/>
      <c r="E848" s="34"/>
      <c r="F848" s="35"/>
    </row>
    <row r="849" customFormat="false" ht="15" hidden="false" customHeight="false" outlineLevel="0" collapsed="false">
      <c r="A849" s="33"/>
      <c r="B849" s="35"/>
      <c r="C849" s="35"/>
      <c r="D849" s="34"/>
      <c r="E849" s="34"/>
      <c r="F849" s="35"/>
    </row>
    <row r="850" customFormat="false" ht="15" hidden="false" customHeight="false" outlineLevel="0" collapsed="false">
      <c r="A850" s="33"/>
      <c r="B850" s="35"/>
      <c r="C850" s="35"/>
      <c r="D850" s="34"/>
      <c r="E850" s="34"/>
      <c r="F850" s="35"/>
    </row>
    <row r="851" customFormat="false" ht="15" hidden="false" customHeight="false" outlineLevel="0" collapsed="false">
      <c r="A851" s="33"/>
      <c r="B851" s="35"/>
      <c r="C851" s="35"/>
      <c r="D851" s="34"/>
      <c r="E851" s="34"/>
      <c r="F851" s="35"/>
    </row>
    <row r="852" customFormat="false" ht="15" hidden="false" customHeight="false" outlineLevel="0" collapsed="false">
      <c r="A852" s="33"/>
      <c r="B852" s="35"/>
      <c r="C852" s="35"/>
      <c r="D852" s="34"/>
      <c r="E852" s="34"/>
      <c r="F852" s="35"/>
    </row>
    <row r="853" customFormat="false" ht="15" hidden="false" customHeight="false" outlineLevel="0" collapsed="false">
      <c r="A853" s="33"/>
      <c r="B853" s="35"/>
      <c r="C853" s="35"/>
      <c r="D853" s="34"/>
      <c r="E853" s="34"/>
      <c r="F853" s="35"/>
    </row>
    <row r="854" customFormat="false" ht="15" hidden="false" customHeight="false" outlineLevel="0" collapsed="false">
      <c r="A854" s="33"/>
      <c r="B854" s="35"/>
      <c r="C854" s="35"/>
      <c r="D854" s="34"/>
      <c r="E854" s="34"/>
      <c r="F854" s="35"/>
    </row>
    <row r="855" customFormat="false" ht="15" hidden="false" customHeight="false" outlineLevel="0" collapsed="false">
      <c r="A855" s="33"/>
      <c r="B855" s="35"/>
      <c r="C855" s="35"/>
      <c r="D855" s="34"/>
      <c r="E855" s="34"/>
      <c r="F855" s="35"/>
    </row>
    <row r="856" customFormat="false" ht="15" hidden="false" customHeight="false" outlineLevel="0" collapsed="false">
      <c r="A856" s="33"/>
      <c r="B856" s="35"/>
      <c r="C856" s="35"/>
      <c r="D856" s="34"/>
      <c r="E856" s="34"/>
      <c r="F856" s="35"/>
    </row>
    <row r="857" customFormat="false" ht="15" hidden="false" customHeight="false" outlineLevel="0" collapsed="false">
      <c r="A857" s="33"/>
      <c r="B857" s="35"/>
      <c r="C857" s="35"/>
      <c r="D857" s="34"/>
      <c r="E857" s="34"/>
      <c r="F857" s="35"/>
    </row>
    <row r="858" customFormat="false" ht="15" hidden="false" customHeight="false" outlineLevel="0" collapsed="false">
      <c r="A858" s="33"/>
      <c r="B858" s="35"/>
      <c r="C858" s="35"/>
      <c r="D858" s="34"/>
      <c r="E858" s="34"/>
      <c r="F858" s="35"/>
    </row>
    <row r="859" customFormat="false" ht="15" hidden="false" customHeight="false" outlineLevel="0" collapsed="false">
      <c r="A859" s="33"/>
      <c r="B859" s="35"/>
      <c r="C859" s="35"/>
      <c r="D859" s="34"/>
      <c r="E859" s="34"/>
      <c r="F859" s="35"/>
    </row>
    <row r="860" customFormat="false" ht="15" hidden="false" customHeight="false" outlineLevel="0" collapsed="false">
      <c r="A860" s="33"/>
      <c r="B860" s="35"/>
      <c r="C860" s="35"/>
      <c r="D860" s="34"/>
      <c r="E860" s="34"/>
      <c r="F860" s="35"/>
    </row>
    <row r="861" customFormat="false" ht="15" hidden="false" customHeight="false" outlineLevel="0" collapsed="false">
      <c r="A861" s="33"/>
      <c r="B861" s="35"/>
      <c r="C861" s="35"/>
      <c r="D861" s="34"/>
      <c r="E861" s="34"/>
      <c r="F861" s="35"/>
    </row>
    <row r="862" customFormat="false" ht="15" hidden="false" customHeight="false" outlineLevel="0" collapsed="false">
      <c r="A862" s="33"/>
      <c r="B862" s="35"/>
      <c r="C862" s="35"/>
      <c r="D862" s="34"/>
      <c r="E862" s="34"/>
      <c r="F862" s="35"/>
    </row>
    <row r="863" customFormat="false" ht="15" hidden="false" customHeight="false" outlineLevel="0" collapsed="false">
      <c r="A863" s="33"/>
      <c r="B863" s="35"/>
      <c r="C863" s="35"/>
      <c r="D863" s="34"/>
      <c r="E863" s="34"/>
      <c r="F863" s="35"/>
    </row>
    <row r="864" customFormat="false" ht="15" hidden="false" customHeight="false" outlineLevel="0" collapsed="false">
      <c r="A864" s="33"/>
      <c r="B864" s="35"/>
      <c r="C864" s="35"/>
      <c r="D864" s="34"/>
      <c r="E864" s="34"/>
      <c r="F864" s="35"/>
    </row>
    <row r="865" customFormat="false" ht="15" hidden="false" customHeight="false" outlineLevel="0" collapsed="false">
      <c r="A865" s="33"/>
      <c r="B865" s="35"/>
      <c r="C865" s="35"/>
      <c r="D865" s="34"/>
      <c r="E865" s="34"/>
      <c r="F865" s="35"/>
    </row>
    <row r="866" customFormat="false" ht="15" hidden="false" customHeight="false" outlineLevel="0" collapsed="false">
      <c r="A866" s="33"/>
      <c r="B866" s="35"/>
      <c r="C866" s="35"/>
      <c r="D866" s="34"/>
      <c r="E866" s="34"/>
      <c r="F866" s="35"/>
    </row>
    <row r="867" customFormat="false" ht="15" hidden="false" customHeight="false" outlineLevel="0" collapsed="false">
      <c r="A867" s="33"/>
      <c r="B867" s="35"/>
      <c r="C867" s="35"/>
      <c r="D867" s="34"/>
      <c r="E867" s="34"/>
      <c r="F867" s="35"/>
    </row>
    <row r="868" customFormat="false" ht="15" hidden="false" customHeight="false" outlineLevel="0" collapsed="false">
      <c r="A868" s="33"/>
      <c r="B868" s="35"/>
      <c r="C868" s="35"/>
      <c r="D868" s="34"/>
      <c r="E868" s="34"/>
      <c r="F868" s="35"/>
    </row>
    <row r="869" customFormat="false" ht="15" hidden="false" customHeight="false" outlineLevel="0" collapsed="false">
      <c r="A869" s="33"/>
      <c r="B869" s="35"/>
      <c r="C869" s="35"/>
      <c r="D869" s="34"/>
      <c r="E869" s="34"/>
      <c r="F869" s="35"/>
    </row>
    <row r="870" customFormat="false" ht="15" hidden="false" customHeight="false" outlineLevel="0" collapsed="false">
      <c r="A870" s="33"/>
      <c r="B870" s="35"/>
      <c r="C870" s="35"/>
      <c r="D870" s="34"/>
      <c r="E870" s="34"/>
      <c r="F870" s="35"/>
    </row>
    <row r="871" customFormat="false" ht="15" hidden="false" customHeight="false" outlineLevel="0" collapsed="false">
      <c r="A871" s="33"/>
      <c r="B871" s="35"/>
      <c r="C871" s="35"/>
      <c r="D871" s="34"/>
      <c r="E871" s="34"/>
      <c r="F871" s="35"/>
    </row>
    <row r="872" customFormat="false" ht="15" hidden="false" customHeight="false" outlineLevel="0" collapsed="false">
      <c r="A872" s="33"/>
      <c r="B872" s="35"/>
      <c r="C872" s="35"/>
      <c r="D872" s="34"/>
      <c r="E872" s="34"/>
      <c r="F872" s="35"/>
    </row>
    <row r="873" customFormat="false" ht="15" hidden="false" customHeight="false" outlineLevel="0" collapsed="false">
      <c r="A873" s="33"/>
      <c r="B873" s="35"/>
      <c r="C873" s="35"/>
      <c r="D873" s="34"/>
      <c r="E873" s="34"/>
      <c r="F873" s="35"/>
    </row>
    <row r="874" customFormat="false" ht="15" hidden="false" customHeight="false" outlineLevel="0" collapsed="false">
      <c r="A874" s="33"/>
      <c r="B874" s="35"/>
      <c r="C874" s="35"/>
      <c r="D874" s="34"/>
      <c r="E874" s="34"/>
      <c r="F874" s="35"/>
    </row>
    <row r="875" customFormat="false" ht="15" hidden="false" customHeight="false" outlineLevel="0" collapsed="false">
      <c r="A875" s="33"/>
      <c r="B875" s="35"/>
      <c r="C875" s="35"/>
      <c r="D875" s="34"/>
      <c r="E875" s="34"/>
      <c r="F875" s="35"/>
    </row>
    <row r="876" customFormat="false" ht="15" hidden="false" customHeight="false" outlineLevel="0" collapsed="false">
      <c r="A876" s="33"/>
      <c r="B876" s="35"/>
      <c r="C876" s="35"/>
      <c r="D876" s="34"/>
      <c r="E876" s="34"/>
      <c r="F876" s="35"/>
    </row>
    <row r="877" customFormat="false" ht="15" hidden="false" customHeight="false" outlineLevel="0" collapsed="false">
      <c r="A877" s="33"/>
      <c r="B877" s="35"/>
      <c r="C877" s="35"/>
      <c r="D877" s="34"/>
      <c r="E877" s="34"/>
      <c r="F877" s="35"/>
    </row>
    <row r="878" customFormat="false" ht="15" hidden="false" customHeight="false" outlineLevel="0" collapsed="false">
      <c r="A878" s="33"/>
      <c r="B878" s="35"/>
      <c r="C878" s="35"/>
      <c r="D878" s="34"/>
      <c r="E878" s="34"/>
      <c r="F878" s="35"/>
    </row>
    <row r="879" customFormat="false" ht="15" hidden="false" customHeight="false" outlineLevel="0" collapsed="false">
      <c r="A879" s="33"/>
      <c r="B879" s="35"/>
      <c r="C879" s="35"/>
      <c r="D879" s="34"/>
      <c r="E879" s="34"/>
      <c r="F879" s="35"/>
    </row>
    <row r="880" customFormat="false" ht="15" hidden="false" customHeight="false" outlineLevel="0" collapsed="false">
      <c r="A880" s="33"/>
      <c r="B880" s="35"/>
      <c r="C880" s="35"/>
      <c r="D880" s="34"/>
      <c r="E880" s="34"/>
      <c r="F880" s="35"/>
    </row>
    <row r="881" customFormat="false" ht="15" hidden="false" customHeight="false" outlineLevel="0" collapsed="false">
      <c r="A881" s="33"/>
      <c r="B881" s="35"/>
      <c r="C881" s="35"/>
      <c r="D881" s="34"/>
      <c r="E881" s="34"/>
      <c r="F881" s="35"/>
    </row>
    <row r="882" customFormat="false" ht="15" hidden="false" customHeight="false" outlineLevel="0" collapsed="false">
      <c r="A882" s="33"/>
      <c r="B882" s="35"/>
      <c r="C882" s="35"/>
      <c r="D882" s="34"/>
      <c r="E882" s="34"/>
      <c r="F882" s="35"/>
    </row>
    <row r="883" customFormat="false" ht="15" hidden="false" customHeight="false" outlineLevel="0" collapsed="false">
      <c r="A883" s="33"/>
      <c r="B883" s="35"/>
      <c r="C883" s="35"/>
      <c r="D883" s="34"/>
      <c r="E883" s="34"/>
      <c r="F883" s="35"/>
    </row>
    <row r="884" customFormat="false" ht="15" hidden="false" customHeight="false" outlineLevel="0" collapsed="false">
      <c r="A884" s="33"/>
      <c r="B884" s="35"/>
      <c r="C884" s="35"/>
      <c r="D884" s="34"/>
      <c r="E884" s="34"/>
      <c r="F884" s="35"/>
    </row>
    <row r="885" customFormat="false" ht="15" hidden="false" customHeight="false" outlineLevel="0" collapsed="false">
      <c r="A885" s="33"/>
      <c r="B885" s="35"/>
      <c r="C885" s="35"/>
      <c r="D885" s="34"/>
      <c r="E885" s="34"/>
      <c r="F885" s="35"/>
    </row>
    <row r="886" customFormat="false" ht="15" hidden="false" customHeight="false" outlineLevel="0" collapsed="false">
      <c r="A886" s="33"/>
      <c r="B886" s="35"/>
      <c r="C886" s="35"/>
      <c r="D886" s="34"/>
      <c r="E886" s="34"/>
      <c r="F886" s="35"/>
    </row>
    <row r="887" customFormat="false" ht="15" hidden="false" customHeight="false" outlineLevel="0" collapsed="false">
      <c r="A887" s="33"/>
      <c r="B887" s="35"/>
      <c r="C887" s="35"/>
      <c r="D887" s="34"/>
      <c r="E887" s="34"/>
      <c r="F887" s="35"/>
    </row>
    <row r="888" customFormat="false" ht="15" hidden="false" customHeight="false" outlineLevel="0" collapsed="false">
      <c r="A888" s="33"/>
      <c r="B888" s="35"/>
      <c r="C888" s="35"/>
      <c r="D888" s="34"/>
      <c r="E888" s="34"/>
      <c r="F888" s="35"/>
    </row>
    <row r="889" customFormat="false" ht="15" hidden="false" customHeight="false" outlineLevel="0" collapsed="false">
      <c r="A889" s="33"/>
      <c r="B889" s="35"/>
      <c r="C889" s="35"/>
      <c r="D889" s="34"/>
      <c r="E889" s="34"/>
      <c r="F889" s="35"/>
    </row>
    <row r="890" customFormat="false" ht="15" hidden="false" customHeight="false" outlineLevel="0" collapsed="false">
      <c r="A890" s="33"/>
      <c r="B890" s="35"/>
      <c r="C890" s="35"/>
      <c r="D890" s="34"/>
      <c r="E890" s="34"/>
      <c r="F890" s="35"/>
    </row>
    <row r="891" customFormat="false" ht="15" hidden="false" customHeight="false" outlineLevel="0" collapsed="false">
      <c r="A891" s="33"/>
      <c r="B891" s="35"/>
      <c r="C891" s="35"/>
      <c r="D891" s="34"/>
      <c r="E891" s="34"/>
      <c r="F891" s="35"/>
    </row>
    <row r="892" customFormat="false" ht="15" hidden="false" customHeight="false" outlineLevel="0" collapsed="false">
      <c r="A892" s="33"/>
      <c r="B892" s="35"/>
      <c r="C892" s="35"/>
      <c r="D892" s="34"/>
      <c r="E892" s="34"/>
      <c r="F892" s="35"/>
    </row>
    <row r="893" customFormat="false" ht="15" hidden="false" customHeight="false" outlineLevel="0" collapsed="false">
      <c r="A893" s="33"/>
      <c r="B893" s="35"/>
      <c r="C893" s="35"/>
      <c r="D893" s="34"/>
      <c r="E893" s="34"/>
      <c r="F893" s="35"/>
    </row>
    <row r="894" customFormat="false" ht="15" hidden="false" customHeight="false" outlineLevel="0" collapsed="false">
      <c r="A894" s="33"/>
      <c r="B894" s="35"/>
      <c r="C894" s="35"/>
      <c r="D894" s="34"/>
      <c r="E894" s="34"/>
      <c r="F894" s="35"/>
    </row>
    <row r="895" customFormat="false" ht="15" hidden="false" customHeight="false" outlineLevel="0" collapsed="false">
      <c r="A895" s="33"/>
      <c r="B895" s="35"/>
      <c r="C895" s="35"/>
      <c r="D895" s="34"/>
      <c r="E895" s="34"/>
      <c r="F895" s="35"/>
    </row>
    <row r="896" customFormat="false" ht="15" hidden="false" customHeight="false" outlineLevel="0" collapsed="false">
      <c r="A896" s="33"/>
      <c r="B896" s="35"/>
      <c r="C896" s="35"/>
      <c r="D896" s="34"/>
      <c r="E896" s="34"/>
      <c r="F896" s="35"/>
    </row>
    <row r="897" customFormat="false" ht="15" hidden="false" customHeight="false" outlineLevel="0" collapsed="false">
      <c r="A897" s="33"/>
      <c r="B897" s="35"/>
      <c r="C897" s="35"/>
      <c r="D897" s="34"/>
      <c r="E897" s="34"/>
      <c r="F897" s="35"/>
    </row>
    <row r="898" customFormat="false" ht="15" hidden="false" customHeight="false" outlineLevel="0" collapsed="false">
      <c r="A898" s="33"/>
      <c r="B898" s="35"/>
      <c r="C898" s="35"/>
      <c r="D898" s="34"/>
      <c r="E898" s="34"/>
      <c r="F898" s="35"/>
    </row>
    <row r="899" customFormat="false" ht="15" hidden="false" customHeight="false" outlineLevel="0" collapsed="false">
      <c r="A899" s="33"/>
      <c r="B899" s="35"/>
      <c r="C899" s="35"/>
      <c r="D899" s="34"/>
      <c r="E899" s="34"/>
      <c r="F899" s="35"/>
    </row>
    <row r="900" customFormat="false" ht="15" hidden="false" customHeight="false" outlineLevel="0" collapsed="false">
      <c r="A900" s="33"/>
      <c r="B900" s="35"/>
      <c r="C900" s="35"/>
      <c r="D900" s="34"/>
      <c r="E900" s="34"/>
      <c r="F900" s="35"/>
    </row>
    <row r="901" customFormat="false" ht="15" hidden="false" customHeight="false" outlineLevel="0" collapsed="false">
      <c r="A901" s="33"/>
      <c r="B901" s="35"/>
      <c r="C901" s="35"/>
      <c r="D901" s="34"/>
      <c r="E901" s="34"/>
      <c r="F901" s="35"/>
    </row>
    <row r="902" customFormat="false" ht="15" hidden="false" customHeight="false" outlineLevel="0" collapsed="false">
      <c r="A902" s="33"/>
      <c r="B902" s="35"/>
      <c r="C902" s="35"/>
      <c r="D902" s="34"/>
      <c r="E902" s="34"/>
      <c r="F902" s="35"/>
    </row>
    <row r="903" customFormat="false" ht="15" hidden="false" customHeight="false" outlineLevel="0" collapsed="false">
      <c r="A903" s="33"/>
      <c r="B903" s="35"/>
      <c r="C903" s="35"/>
      <c r="D903" s="34"/>
      <c r="E903" s="34"/>
      <c r="F903" s="35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4:E903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7" min="2" style="1" width="14"/>
    <col collapsed="false" customWidth="true" hidden="false" outlineLevel="0" max="20" min="8" style="1" width="10"/>
  </cols>
  <sheetData>
    <row r="1" customFormat="false" ht="24" hidden="false" customHeight="true" outlineLevel="0" collapsed="false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3" t="s">
        <v>132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39.75" hidden="false" customHeight="true" outlineLevel="0" collapsed="false">
      <c r="A3" s="8" t="s">
        <v>133</v>
      </c>
      <c r="B3" s="8" t="s">
        <v>134</v>
      </c>
      <c r="C3" s="8" t="s">
        <v>135</v>
      </c>
      <c r="D3" s="8" t="s">
        <v>136</v>
      </c>
      <c r="E3" s="8" t="s">
        <v>137</v>
      </c>
      <c r="F3" s="8" t="s">
        <v>138</v>
      </c>
      <c r="G3" s="8" t="s">
        <v>139</v>
      </c>
      <c r="H3" s="8" t="s">
        <v>31</v>
      </c>
      <c r="I3" s="8" t="s">
        <v>32</v>
      </c>
      <c r="J3" s="8" t="s">
        <v>33</v>
      </c>
      <c r="K3" s="8" t="s">
        <v>34</v>
      </c>
      <c r="L3" s="8" t="s">
        <v>35</v>
      </c>
      <c r="M3" s="8" t="s">
        <v>36</v>
      </c>
      <c r="N3" s="8" t="s">
        <v>37</v>
      </c>
      <c r="O3" s="8" t="s">
        <v>38</v>
      </c>
      <c r="P3" s="8" t="s">
        <v>39</v>
      </c>
      <c r="Q3" s="8" t="s">
        <v>40</v>
      </c>
      <c r="R3" s="8" t="s">
        <v>41</v>
      </c>
      <c r="S3" s="8" t="s">
        <v>42</v>
      </c>
      <c r="T3" s="8" t="s">
        <v>43</v>
      </c>
    </row>
    <row r="4" customFormat="false" ht="15" hidden="false" customHeight="false" outlineLevel="0" collapsed="false">
      <c r="A4" s="38" t="n">
        <f aca="false">DATE(Parámetros!$C$6,Parámetros!$C$7,1)</f>
        <v>46235</v>
      </c>
      <c r="B4" s="10" t="n">
        <f aca="false">SUMIFS('Caja Diaria'!$F$4:$F$403,'Caja Diaria'!$B$4:$B$403,"Ingreso",'Caja Diaria'!$A$4:$A$403,$A4)</f>
        <v>0</v>
      </c>
      <c r="C4" s="10" t="n">
        <f aca="false">SUMIFS('Caja Diaria'!$F$4:$F$403,'Caja Diaria'!$B$4:$B$403,"Egreso",'Caja Diaria'!$A$4:$A$403,$A4)</f>
        <v>0</v>
      </c>
      <c r="D4" s="39" t="n">
        <f aca="false">B4-C4</f>
        <v>0</v>
      </c>
      <c r="E4" s="39" t="n">
        <f aca="false">D4</f>
        <v>0</v>
      </c>
      <c r="F4" s="39" t="n">
        <f aca="false">Parámetros!$C$11+SUMIFS('Caja Diaria'!$F$4:$F$403,'Caja Diaria'!$B$4:$B$403,"Ingreso",'Caja Diaria'!$E$4:$E$403,"Efectivo",'Caja Diaria'!$A$4:$A$403,$A4)-SUMIFS('Caja Diaria'!$F$4:$F$403,'Caja Diaria'!$B$4:$B$403,"Egreso",'Caja Diaria'!$E$4:$E$403,"Efectivo",'Caja Diaria'!$A$4:$A$403,$A4)</f>
        <v>0</v>
      </c>
      <c r="G4" s="10" t="n">
        <f aca="false">B4/Parámetros!$C$8</f>
        <v>0</v>
      </c>
      <c r="H4" s="21" t="n">
        <f aca="false">IF(Parámetros!$D$15=0,0,COUNTIFS(Sesiones!$A$4:$A$903,$A4,Sesiones!$B$4:$B$903,Parámetros!$B$15)/Parámetros!$D$15)</f>
        <v>0</v>
      </c>
      <c r="I4" s="21" t="n">
        <f aca="false">IF(Parámetros!$D$16=0,0,COUNTIFS(Sesiones!$A$4:$A$903,$A4,Sesiones!$B$4:$B$903,Parámetros!$B$16)/Parámetros!$D$16)</f>
        <v>0</v>
      </c>
      <c r="J4" s="21" t="n">
        <f aca="false">IF(Parámetros!$D$17=0,0,COUNTIFS(Sesiones!$A$4:$A$903,$A4,Sesiones!$B$4:$B$903,Parámetros!$B$17)/Parámetros!$D$17)</f>
        <v>0</v>
      </c>
      <c r="K4" s="21" t="n">
        <f aca="false">IF(Parámetros!$D$18=0,0,COUNTIFS(Sesiones!$A$4:$A$903,$A4,Sesiones!$B$4:$B$903,Parámetros!$B$18)/Parámetros!$D$18)</f>
        <v>0</v>
      </c>
      <c r="L4" s="21" t="n">
        <f aca="false">IF(Parámetros!$D$19=0,0,COUNTIFS(Sesiones!$A$4:$A$903,$A4,Sesiones!$B$4:$B$903,Parámetros!$B$19)/Parámetros!$D$19)</f>
        <v>0</v>
      </c>
      <c r="M4" s="21" t="n">
        <f aca="false">IF(Parámetros!$D$20=0,0,COUNTIFS(Sesiones!$A$4:$A$903,$A4,Sesiones!$B$4:$B$903,Parámetros!$B$20)/Parámetros!$D$20)</f>
        <v>0</v>
      </c>
      <c r="N4" s="21" t="n">
        <f aca="false">IF(Parámetros!$D$21=0,0,COUNTIFS(Sesiones!$A$4:$A$903,$A4,Sesiones!$B$4:$B$903,Parámetros!$B$21)/Parámetros!$D$21)</f>
        <v>0</v>
      </c>
      <c r="O4" s="21" t="n">
        <f aca="false">IF(Parámetros!$D$22=0,0,COUNTIFS(Sesiones!$A$4:$A$903,$A4,Sesiones!$B$4:$B$903,Parámetros!$B$22)/Parámetros!$D$22)</f>
        <v>0</v>
      </c>
      <c r="P4" s="21" t="n">
        <f aca="false">IF(Parámetros!$D$23=0,0,COUNTIFS(Sesiones!$A$4:$A$903,$A4,Sesiones!$B$4:$B$903,Parámetros!$B$23)/Parámetros!$D$23)</f>
        <v>0</v>
      </c>
      <c r="Q4" s="21" t="n">
        <f aca="false">IF(Parámetros!$D$24=0,0,COUNTIFS(Sesiones!$A$4:$A$903,$A4,Sesiones!$B$4:$B$903,Parámetros!$B$24)/Parámetros!$D$24)</f>
        <v>0</v>
      </c>
      <c r="R4" s="21" t="n">
        <f aca="false">IF(Parámetros!$D$25=0,0,COUNTIFS(Sesiones!$A$4:$A$903,$A4,Sesiones!$B$4:$B$903,Parámetros!$B$25)/Parámetros!$D$25)</f>
        <v>0</v>
      </c>
      <c r="S4" s="21" t="n">
        <f aca="false">IF(Parámetros!$D$26=0,0,COUNTIFS(Sesiones!$A$4:$A$903,$A4,Sesiones!$B$4:$B$903,Parámetros!$B$26)/Parámetros!$D$26)</f>
        <v>0</v>
      </c>
      <c r="T4" s="21" t="n">
        <f aca="false">IF(Parámetros!$D$27=0,0,COUNTIFS(Sesiones!$A$4:$A$903,$A4,Sesiones!$B$4:$B$903,Parámetros!$B$27)/Parámetros!$D$27)</f>
        <v>0</v>
      </c>
    </row>
    <row r="5" customFormat="false" ht="15" hidden="false" customHeight="false" outlineLevel="0" collapsed="false">
      <c r="A5" s="38" t="n">
        <f aca="false">DATE(Parámetros!$C$6,Parámetros!$C$7,2)</f>
        <v>46236</v>
      </c>
      <c r="B5" s="10" t="n">
        <f aca="false">SUMIFS('Caja Diaria'!$F$4:$F$403,'Caja Diaria'!$B$4:$B$403,"Ingreso",'Caja Diaria'!$A$4:$A$403,$A5)</f>
        <v>0</v>
      </c>
      <c r="C5" s="10" t="n">
        <f aca="false">SUMIFS('Caja Diaria'!$F$4:$F$403,'Caja Diaria'!$B$4:$B$403,"Egreso",'Caja Diaria'!$A$4:$A$403,$A5)</f>
        <v>0</v>
      </c>
      <c r="D5" s="39" t="n">
        <f aca="false">B5-C5</f>
        <v>0</v>
      </c>
      <c r="E5" s="39" t="n">
        <f aca="false">E4+D5</f>
        <v>0</v>
      </c>
      <c r="F5" s="39" t="n">
        <f aca="false">F4+SUMIFS('Caja Diaria'!$F$4:$F$403,'Caja Diaria'!$B$4:$B$403,"Ingreso",'Caja Diaria'!$E$4:$E$403,"Efectivo",'Caja Diaria'!$A$4:$A$403,$A5)-SUMIFS('Caja Diaria'!$F$4:$F$403,'Caja Diaria'!$B$4:$B$403,"Egreso",'Caja Diaria'!$E$4:$E$403,"Efectivo",'Caja Diaria'!$A$4:$A$403,$A5)</f>
        <v>0</v>
      </c>
      <c r="G5" s="10" t="n">
        <f aca="false">B5/Parámetros!$C$8</f>
        <v>0</v>
      </c>
      <c r="H5" s="21" t="n">
        <f aca="false">IF(Parámetros!$D$15=0,0,COUNTIFS(Sesiones!$A$4:$A$903,$A5,Sesiones!$B$4:$B$903,Parámetros!$B$15)/Parámetros!$D$15)</f>
        <v>0</v>
      </c>
      <c r="I5" s="21" t="n">
        <f aca="false">IF(Parámetros!$D$16=0,0,COUNTIFS(Sesiones!$A$4:$A$903,$A5,Sesiones!$B$4:$B$903,Parámetros!$B$16)/Parámetros!$D$16)</f>
        <v>0</v>
      </c>
      <c r="J5" s="21" t="n">
        <f aca="false">IF(Parámetros!$D$17=0,0,COUNTIFS(Sesiones!$A$4:$A$903,$A5,Sesiones!$B$4:$B$903,Parámetros!$B$17)/Parámetros!$D$17)</f>
        <v>0</v>
      </c>
      <c r="K5" s="21" t="n">
        <f aca="false">IF(Parámetros!$D$18=0,0,COUNTIFS(Sesiones!$A$4:$A$903,$A5,Sesiones!$B$4:$B$903,Parámetros!$B$18)/Parámetros!$D$18)</f>
        <v>0</v>
      </c>
      <c r="L5" s="21" t="n">
        <f aca="false">IF(Parámetros!$D$19=0,0,COUNTIFS(Sesiones!$A$4:$A$903,$A5,Sesiones!$B$4:$B$903,Parámetros!$B$19)/Parámetros!$D$19)</f>
        <v>0</v>
      </c>
      <c r="M5" s="21" t="n">
        <f aca="false">IF(Parámetros!$D$20=0,0,COUNTIFS(Sesiones!$A$4:$A$903,$A5,Sesiones!$B$4:$B$903,Parámetros!$B$20)/Parámetros!$D$20)</f>
        <v>0</v>
      </c>
      <c r="N5" s="21" t="n">
        <f aca="false">IF(Parámetros!$D$21=0,0,COUNTIFS(Sesiones!$A$4:$A$903,$A5,Sesiones!$B$4:$B$903,Parámetros!$B$21)/Parámetros!$D$21)</f>
        <v>0</v>
      </c>
      <c r="O5" s="21" t="n">
        <f aca="false">IF(Parámetros!$D$22=0,0,COUNTIFS(Sesiones!$A$4:$A$903,$A5,Sesiones!$B$4:$B$903,Parámetros!$B$22)/Parámetros!$D$22)</f>
        <v>0</v>
      </c>
      <c r="P5" s="21" t="n">
        <f aca="false">IF(Parámetros!$D$23=0,0,COUNTIFS(Sesiones!$A$4:$A$903,$A5,Sesiones!$B$4:$B$903,Parámetros!$B$23)/Parámetros!$D$23)</f>
        <v>0</v>
      </c>
      <c r="Q5" s="21" t="n">
        <f aca="false">IF(Parámetros!$D$24=0,0,COUNTIFS(Sesiones!$A$4:$A$903,$A5,Sesiones!$B$4:$B$903,Parámetros!$B$24)/Parámetros!$D$24)</f>
        <v>0</v>
      </c>
      <c r="R5" s="21" t="n">
        <f aca="false">IF(Parámetros!$D$25=0,0,COUNTIFS(Sesiones!$A$4:$A$903,$A5,Sesiones!$B$4:$B$903,Parámetros!$B$25)/Parámetros!$D$25)</f>
        <v>0</v>
      </c>
      <c r="S5" s="21" t="n">
        <f aca="false">IF(Parámetros!$D$26=0,0,COUNTIFS(Sesiones!$A$4:$A$903,$A5,Sesiones!$B$4:$B$903,Parámetros!$B$26)/Parámetros!$D$26)</f>
        <v>0</v>
      </c>
      <c r="T5" s="21" t="n">
        <f aca="false">IF(Parámetros!$D$27=0,0,COUNTIFS(Sesiones!$A$4:$A$903,$A5,Sesiones!$B$4:$B$903,Parámetros!$B$27)/Parámetros!$D$27)</f>
        <v>0</v>
      </c>
    </row>
    <row r="6" customFormat="false" ht="15" hidden="false" customHeight="false" outlineLevel="0" collapsed="false">
      <c r="A6" s="38" t="n">
        <f aca="false">DATE(Parámetros!$C$6,Parámetros!$C$7,3)</f>
        <v>46237</v>
      </c>
      <c r="B6" s="10" t="n">
        <f aca="false">SUMIFS('Caja Diaria'!$F$4:$F$403,'Caja Diaria'!$B$4:$B$403,"Ingreso",'Caja Diaria'!$A$4:$A$403,$A6)</f>
        <v>3441000</v>
      </c>
      <c r="C6" s="10" t="n">
        <f aca="false">SUMIFS('Caja Diaria'!$F$4:$F$403,'Caja Diaria'!$B$4:$B$403,"Egreso",'Caja Diaria'!$A$4:$A$403,$A6)</f>
        <v>45000</v>
      </c>
      <c r="D6" s="39" t="n">
        <f aca="false">B6-C6</f>
        <v>3396000</v>
      </c>
      <c r="E6" s="39" t="n">
        <f aca="false">E5+D6</f>
        <v>3396000</v>
      </c>
      <c r="F6" s="39" t="n">
        <f aca="false">F5+SUMIFS('Caja Diaria'!$F$4:$F$403,'Caja Diaria'!$B$4:$B$403,"Ingreso",'Caja Diaria'!$E$4:$E$403,"Efectivo",'Caja Diaria'!$A$4:$A$403,$A6)-SUMIFS('Caja Diaria'!$F$4:$F$403,'Caja Diaria'!$B$4:$B$403,"Egreso",'Caja Diaria'!$E$4:$E$403,"Efectivo",'Caja Diaria'!$A$4:$A$403,$A6)</f>
        <v>330000</v>
      </c>
      <c r="G6" s="10" t="n">
        <f aca="false">B6/Parámetros!$C$8</f>
        <v>2294</v>
      </c>
      <c r="H6" s="21" t="n">
        <f aca="false">IF(Parámetros!$D$15=0,0,COUNTIFS(Sesiones!$A$4:$A$903,$A6,Sesiones!$B$4:$B$903,Parámetros!$B$15)/Parámetros!$D$15)</f>
        <v>0.166666666666667</v>
      </c>
      <c r="I6" s="21" t="n">
        <f aca="false">IF(Parámetros!$D$16=0,0,COUNTIFS(Sesiones!$A$4:$A$903,$A6,Sesiones!$B$4:$B$903,Parámetros!$B$16)/Parámetros!$D$16)</f>
        <v>0</v>
      </c>
      <c r="J6" s="21" t="n">
        <f aca="false">IF(Parámetros!$D$17=0,0,COUNTIFS(Sesiones!$A$4:$A$903,$A6,Sesiones!$B$4:$B$903,Parámetros!$B$17)/Parámetros!$D$17)</f>
        <v>0</v>
      </c>
      <c r="K6" s="21" t="n">
        <f aca="false">IF(Parámetros!$D$18=0,0,COUNTIFS(Sesiones!$A$4:$A$903,$A6,Sesiones!$B$4:$B$903,Parámetros!$B$18)/Parámetros!$D$18)</f>
        <v>0.0416666666666667</v>
      </c>
      <c r="L6" s="21" t="n">
        <f aca="false">IF(Parámetros!$D$19=0,0,COUNTIFS(Sesiones!$A$4:$A$903,$A6,Sesiones!$B$4:$B$903,Parámetros!$B$19)/Parámetros!$D$19)</f>
        <v>0</v>
      </c>
      <c r="M6" s="21" t="n">
        <f aca="false">IF(Parámetros!$D$20=0,0,COUNTIFS(Sesiones!$A$4:$A$903,$A6,Sesiones!$B$4:$B$903,Parámetros!$B$20)/Parámetros!$D$20)</f>
        <v>0.0833333333333333</v>
      </c>
      <c r="N6" s="21" t="n">
        <f aca="false">IF(Parámetros!$D$21=0,0,COUNTIFS(Sesiones!$A$4:$A$903,$A6,Sesiones!$B$4:$B$903,Parámetros!$B$21)/Parámetros!$D$21)</f>
        <v>0</v>
      </c>
      <c r="O6" s="21" t="n">
        <f aca="false">IF(Parámetros!$D$22=0,0,COUNTIFS(Sesiones!$A$4:$A$903,$A6,Sesiones!$B$4:$B$903,Parámetros!$B$22)/Parámetros!$D$22)</f>
        <v>0</v>
      </c>
      <c r="P6" s="21" t="n">
        <f aca="false">IF(Parámetros!$D$23=0,0,COUNTIFS(Sesiones!$A$4:$A$903,$A6,Sesiones!$B$4:$B$903,Parámetros!$B$23)/Parámetros!$D$23)</f>
        <v>0</v>
      </c>
      <c r="Q6" s="21" t="n">
        <f aca="false">IF(Parámetros!$D$24=0,0,COUNTIFS(Sesiones!$A$4:$A$903,$A6,Sesiones!$B$4:$B$903,Parámetros!$B$24)/Parámetros!$D$24)</f>
        <v>0</v>
      </c>
      <c r="R6" s="21" t="n">
        <f aca="false">IF(Parámetros!$D$25=0,0,COUNTIFS(Sesiones!$A$4:$A$903,$A6,Sesiones!$B$4:$B$903,Parámetros!$B$25)/Parámetros!$D$25)</f>
        <v>0</v>
      </c>
      <c r="S6" s="21" t="n">
        <f aca="false">IF(Parámetros!$D$26=0,0,COUNTIFS(Sesiones!$A$4:$A$903,$A6,Sesiones!$B$4:$B$903,Parámetros!$B$26)/Parámetros!$D$26)</f>
        <v>0</v>
      </c>
      <c r="T6" s="21" t="n">
        <f aca="false">IF(Parámetros!$D$27=0,0,COUNTIFS(Sesiones!$A$4:$A$903,$A6,Sesiones!$B$4:$B$903,Parámetros!$B$27)/Parámetros!$D$27)</f>
        <v>0.0833333333333333</v>
      </c>
    </row>
    <row r="7" customFormat="false" ht="15" hidden="false" customHeight="false" outlineLevel="0" collapsed="false">
      <c r="A7" s="38" t="n">
        <f aca="false">DATE(Parámetros!$C$6,Parámetros!$C$7,4)</f>
        <v>46238</v>
      </c>
      <c r="B7" s="10" t="n">
        <f aca="false">SUMIFS('Caja Diaria'!$F$4:$F$403,'Caja Diaria'!$B$4:$B$403,"Ingreso",'Caja Diaria'!$A$4:$A$403,$A7)</f>
        <v>2395500</v>
      </c>
      <c r="C7" s="10" t="n">
        <f aca="false">SUMIFS('Caja Diaria'!$F$4:$F$403,'Caja Diaria'!$B$4:$B$403,"Egreso",'Caja Diaria'!$A$4:$A$403,$A7)</f>
        <v>30000</v>
      </c>
      <c r="D7" s="39" t="n">
        <f aca="false">B7-C7</f>
        <v>2365500</v>
      </c>
      <c r="E7" s="39" t="n">
        <f aca="false">E6+D7</f>
        <v>5761500</v>
      </c>
      <c r="F7" s="39" t="n">
        <f aca="false">F6+SUMIFS('Caja Diaria'!$F$4:$F$403,'Caja Diaria'!$B$4:$B$403,"Ingreso",'Caja Diaria'!$E$4:$E$403,"Efectivo",'Caja Diaria'!$A$4:$A$403,$A7)-SUMIFS('Caja Diaria'!$F$4:$F$403,'Caja Diaria'!$B$4:$B$403,"Egreso",'Caja Diaria'!$E$4:$E$403,"Efectivo",'Caja Diaria'!$A$4:$A$403,$A7)</f>
        <v>468000</v>
      </c>
      <c r="G7" s="10" t="n">
        <f aca="false">B7/Parámetros!$C$8</f>
        <v>1597</v>
      </c>
      <c r="H7" s="21" t="n">
        <f aca="false">IF(Parámetros!$D$15=0,0,COUNTIFS(Sesiones!$A$4:$A$903,$A7,Sesiones!$B$4:$B$903,Parámetros!$B$15)/Parámetros!$D$15)</f>
        <v>0</v>
      </c>
      <c r="I7" s="21" t="n">
        <f aca="false">IF(Parámetros!$D$16=0,0,COUNTIFS(Sesiones!$A$4:$A$903,$A7,Sesiones!$B$4:$B$903,Parámetros!$B$16)/Parámetros!$D$16)</f>
        <v>0</v>
      </c>
      <c r="J7" s="21" t="n">
        <f aca="false">IF(Parámetros!$D$17=0,0,COUNTIFS(Sesiones!$A$4:$A$903,$A7,Sesiones!$B$4:$B$903,Parámetros!$B$17)/Parámetros!$D$17)</f>
        <v>0.0833333333333333</v>
      </c>
      <c r="K7" s="21" t="n">
        <f aca="false">IF(Parámetros!$D$18=0,0,COUNTIFS(Sesiones!$A$4:$A$903,$A7,Sesiones!$B$4:$B$903,Parámetros!$B$18)/Parámetros!$D$18)</f>
        <v>0</v>
      </c>
      <c r="L7" s="21" t="n">
        <f aca="false">IF(Parámetros!$D$19=0,0,COUNTIFS(Sesiones!$A$4:$A$903,$A7,Sesiones!$B$4:$B$903,Parámetros!$B$19)/Parámetros!$D$19)</f>
        <v>0.0416666666666667</v>
      </c>
      <c r="M7" s="21" t="n">
        <f aca="false">IF(Parámetros!$D$20=0,0,COUNTIFS(Sesiones!$A$4:$A$903,$A7,Sesiones!$B$4:$B$903,Parámetros!$B$20)/Parámetros!$D$20)</f>
        <v>0</v>
      </c>
      <c r="N7" s="21" t="n">
        <f aca="false">IF(Parámetros!$D$21=0,0,COUNTIFS(Sesiones!$A$4:$A$903,$A7,Sesiones!$B$4:$B$903,Parámetros!$B$21)/Parámetros!$D$21)</f>
        <v>0</v>
      </c>
      <c r="O7" s="21" t="n">
        <f aca="false">IF(Parámetros!$D$22=0,0,COUNTIFS(Sesiones!$A$4:$A$903,$A7,Sesiones!$B$4:$B$903,Parámetros!$B$22)/Parámetros!$D$22)</f>
        <v>0.0416666666666667</v>
      </c>
      <c r="P7" s="21" t="n">
        <f aca="false">IF(Parámetros!$D$23=0,0,COUNTIFS(Sesiones!$A$4:$A$903,$A7,Sesiones!$B$4:$B$903,Parámetros!$B$23)/Parámetros!$D$23)</f>
        <v>0</v>
      </c>
      <c r="Q7" s="21" t="n">
        <f aca="false">IF(Parámetros!$D$24=0,0,COUNTIFS(Sesiones!$A$4:$A$903,$A7,Sesiones!$B$4:$B$903,Parámetros!$B$24)/Parámetros!$D$24)</f>
        <v>0</v>
      </c>
      <c r="R7" s="21" t="n">
        <f aca="false">IF(Parámetros!$D$25=0,0,COUNTIFS(Sesiones!$A$4:$A$903,$A7,Sesiones!$B$4:$B$903,Parámetros!$B$25)/Parámetros!$D$25)</f>
        <v>0</v>
      </c>
      <c r="S7" s="21" t="n">
        <f aca="false">IF(Parámetros!$D$26=0,0,COUNTIFS(Sesiones!$A$4:$A$903,$A7,Sesiones!$B$4:$B$903,Parámetros!$B$26)/Parámetros!$D$26)</f>
        <v>0</v>
      </c>
      <c r="T7" s="21" t="n">
        <f aca="false">IF(Parámetros!$D$27=0,0,COUNTIFS(Sesiones!$A$4:$A$903,$A7,Sesiones!$B$4:$B$903,Parámetros!$B$27)/Parámetros!$D$27)</f>
        <v>0</v>
      </c>
    </row>
    <row r="8" customFormat="false" ht="15" hidden="false" customHeight="false" outlineLevel="0" collapsed="false">
      <c r="A8" s="38" t="n">
        <f aca="false">DATE(Parámetros!$C$6,Parámetros!$C$7,5)</f>
        <v>46239</v>
      </c>
      <c r="B8" s="10" t="n">
        <f aca="false">SUMIFS('Caja Diaria'!$F$4:$F$403,'Caja Diaria'!$B$4:$B$403,"Ingreso",'Caja Diaria'!$A$4:$A$403,$A8)</f>
        <v>0</v>
      </c>
      <c r="C8" s="10" t="n">
        <f aca="false">SUMIFS('Caja Diaria'!$F$4:$F$403,'Caja Diaria'!$B$4:$B$403,"Egreso",'Caja Diaria'!$A$4:$A$403,$A8)</f>
        <v>0</v>
      </c>
      <c r="D8" s="39" t="n">
        <f aca="false">B8-C8</f>
        <v>0</v>
      </c>
      <c r="E8" s="39" t="n">
        <f aca="false">E7+D8</f>
        <v>5761500</v>
      </c>
      <c r="F8" s="39" t="n">
        <f aca="false">F7+SUMIFS('Caja Diaria'!$F$4:$F$403,'Caja Diaria'!$B$4:$B$403,"Ingreso",'Caja Diaria'!$E$4:$E$403,"Efectivo",'Caja Diaria'!$A$4:$A$403,$A8)-SUMIFS('Caja Diaria'!$F$4:$F$403,'Caja Diaria'!$B$4:$B$403,"Egreso",'Caja Diaria'!$E$4:$E$403,"Efectivo",'Caja Diaria'!$A$4:$A$403,$A8)</f>
        <v>468000</v>
      </c>
      <c r="G8" s="10" t="n">
        <f aca="false">B8/Parámetros!$C$8</f>
        <v>0</v>
      </c>
      <c r="H8" s="21" t="n">
        <f aca="false">IF(Parámetros!$D$15=0,0,COUNTIFS(Sesiones!$A$4:$A$903,$A8,Sesiones!$B$4:$B$903,Parámetros!$B$15)/Parámetros!$D$15)</f>
        <v>0</v>
      </c>
      <c r="I8" s="21" t="n">
        <f aca="false">IF(Parámetros!$D$16=0,0,COUNTIFS(Sesiones!$A$4:$A$903,$A8,Sesiones!$B$4:$B$903,Parámetros!$B$16)/Parámetros!$D$16)</f>
        <v>0</v>
      </c>
      <c r="J8" s="21" t="n">
        <f aca="false">IF(Parámetros!$D$17=0,0,COUNTIFS(Sesiones!$A$4:$A$903,$A8,Sesiones!$B$4:$B$903,Parámetros!$B$17)/Parámetros!$D$17)</f>
        <v>0</v>
      </c>
      <c r="K8" s="21" t="n">
        <f aca="false">IF(Parámetros!$D$18=0,0,COUNTIFS(Sesiones!$A$4:$A$903,$A8,Sesiones!$B$4:$B$903,Parámetros!$B$18)/Parámetros!$D$18)</f>
        <v>0</v>
      </c>
      <c r="L8" s="21" t="n">
        <f aca="false">IF(Parámetros!$D$19=0,0,COUNTIFS(Sesiones!$A$4:$A$903,$A8,Sesiones!$B$4:$B$903,Parámetros!$B$19)/Parámetros!$D$19)</f>
        <v>0</v>
      </c>
      <c r="M8" s="21" t="n">
        <f aca="false">IF(Parámetros!$D$20=0,0,COUNTIFS(Sesiones!$A$4:$A$903,$A8,Sesiones!$B$4:$B$903,Parámetros!$B$20)/Parámetros!$D$20)</f>
        <v>0</v>
      </c>
      <c r="N8" s="21" t="n">
        <f aca="false">IF(Parámetros!$D$21=0,0,COUNTIFS(Sesiones!$A$4:$A$903,$A8,Sesiones!$B$4:$B$903,Parámetros!$B$21)/Parámetros!$D$21)</f>
        <v>0</v>
      </c>
      <c r="O8" s="21" t="n">
        <f aca="false">IF(Parámetros!$D$22=0,0,COUNTIFS(Sesiones!$A$4:$A$903,$A8,Sesiones!$B$4:$B$903,Parámetros!$B$22)/Parámetros!$D$22)</f>
        <v>0</v>
      </c>
      <c r="P8" s="21" t="n">
        <f aca="false">IF(Parámetros!$D$23=0,0,COUNTIFS(Sesiones!$A$4:$A$903,$A8,Sesiones!$B$4:$B$903,Parámetros!$B$23)/Parámetros!$D$23)</f>
        <v>0</v>
      </c>
      <c r="Q8" s="21" t="n">
        <f aca="false">IF(Parámetros!$D$24=0,0,COUNTIFS(Sesiones!$A$4:$A$903,$A8,Sesiones!$B$4:$B$903,Parámetros!$B$24)/Parámetros!$D$24)</f>
        <v>0</v>
      </c>
      <c r="R8" s="21" t="n">
        <f aca="false">IF(Parámetros!$D$25=0,0,COUNTIFS(Sesiones!$A$4:$A$903,$A8,Sesiones!$B$4:$B$903,Parámetros!$B$25)/Parámetros!$D$25)</f>
        <v>0</v>
      </c>
      <c r="S8" s="21" t="n">
        <f aca="false">IF(Parámetros!$D$26=0,0,COUNTIFS(Sesiones!$A$4:$A$903,$A8,Sesiones!$B$4:$B$903,Parámetros!$B$26)/Parámetros!$D$26)</f>
        <v>0</v>
      </c>
      <c r="T8" s="21" t="n">
        <f aca="false">IF(Parámetros!$D$27=0,0,COUNTIFS(Sesiones!$A$4:$A$903,$A8,Sesiones!$B$4:$B$903,Parámetros!$B$27)/Parámetros!$D$27)</f>
        <v>0</v>
      </c>
    </row>
    <row r="9" customFormat="false" ht="15" hidden="false" customHeight="false" outlineLevel="0" collapsed="false">
      <c r="A9" s="38" t="n">
        <f aca="false">DATE(Parámetros!$C$6,Parámetros!$C$7,6)</f>
        <v>46240</v>
      </c>
      <c r="B9" s="10" t="n">
        <f aca="false">SUMIFS('Caja Diaria'!$F$4:$F$403,'Caja Diaria'!$B$4:$B$403,"Ingreso",'Caja Diaria'!$A$4:$A$403,$A9)</f>
        <v>0</v>
      </c>
      <c r="C9" s="10" t="n">
        <f aca="false">SUMIFS('Caja Diaria'!$F$4:$F$403,'Caja Diaria'!$B$4:$B$403,"Egreso",'Caja Diaria'!$A$4:$A$403,$A9)</f>
        <v>0</v>
      </c>
      <c r="D9" s="39" t="n">
        <f aca="false">B9-C9</f>
        <v>0</v>
      </c>
      <c r="E9" s="39" t="n">
        <f aca="false">E8+D9</f>
        <v>5761500</v>
      </c>
      <c r="F9" s="39" t="n">
        <f aca="false">F8+SUMIFS('Caja Diaria'!$F$4:$F$403,'Caja Diaria'!$B$4:$B$403,"Ingreso",'Caja Diaria'!$E$4:$E$403,"Efectivo",'Caja Diaria'!$A$4:$A$403,$A9)-SUMIFS('Caja Diaria'!$F$4:$F$403,'Caja Diaria'!$B$4:$B$403,"Egreso",'Caja Diaria'!$E$4:$E$403,"Efectivo",'Caja Diaria'!$A$4:$A$403,$A9)</f>
        <v>468000</v>
      </c>
      <c r="G9" s="10" t="n">
        <f aca="false">B9/Parámetros!$C$8</f>
        <v>0</v>
      </c>
      <c r="H9" s="21" t="n">
        <f aca="false">IF(Parámetros!$D$15=0,0,COUNTIFS(Sesiones!$A$4:$A$903,$A9,Sesiones!$B$4:$B$903,Parámetros!$B$15)/Parámetros!$D$15)</f>
        <v>0</v>
      </c>
      <c r="I9" s="21" t="n">
        <f aca="false">IF(Parámetros!$D$16=0,0,COUNTIFS(Sesiones!$A$4:$A$903,$A9,Sesiones!$B$4:$B$903,Parámetros!$B$16)/Parámetros!$D$16)</f>
        <v>0</v>
      </c>
      <c r="J9" s="21" t="n">
        <f aca="false">IF(Parámetros!$D$17=0,0,COUNTIFS(Sesiones!$A$4:$A$903,$A9,Sesiones!$B$4:$B$903,Parámetros!$B$17)/Parámetros!$D$17)</f>
        <v>0</v>
      </c>
      <c r="K9" s="21" t="n">
        <f aca="false">IF(Parámetros!$D$18=0,0,COUNTIFS(Sesiones!$A$4:$A$903,$A9,Sesiones!$B$4:$B$903,Parámetros!$B$18)/Parámetros!$D$18)</f>
        <v>0</v>
      </c>
      <c r="L9" s="21" t="n">
        <f aca="false">IF(Parámetros!$D$19=0,0,COUNTIFS(Sesiones!$A$4:$A$903,$A9,Sesiones!$B$4:$B$903,Parámetros!$B$19)/Parámetros!$D$19)</f>
        <v>0</v>
      </c>
      <c r="M9" s="21" t="n">
        <f aca="false">IF(Parámetros!$D$20=0,0,COUNTIFS(Sesiones!$A$4:$A$903,$A9,Sesiones!$B$4:$B$903,Parámetros!$B$20)/Parámetros!$D$20)</f>
        <v>0</v>
      </c>
      <c r="N9" s="21" t="n">
        <f aca="false">IF(Parámetros!$D$21=0,0,COUNTIFS(Sesiones!$A$4:$A$903,$A9,Sesiones!$B$4:$B$903,Parámetros!$B$21)/Parámetros!$D$21)</f>
        <v>0</v>
      </c>
      <c r="O9" s="21" t="n">
        <f aca="false">IF(Parámetros!$D$22=0,0,COUNTIFS(Sesiones!$A$4:$A$903,$A9,Sesiones!$B$4:$B$903,Parámetros!$B$22)/Parámetros!$D$22)</f>
        <v>0</v>
      </c>
      <c r="P9" s="21" t="n">
        <f aca="false">IF(Parámetros!$D$23=0,0,COUNTIFS(Sesiones!$A$4:$A$903,$A9,Sesiones!$B$4:$B$903,Parámetros!$B$23)/Parámetros!$D$23)</f>
        <v>0</v>
      </c>
      <c r="Q9" s="21" t="n">
        <f aca="false">IF(Parámetros!$D$24=0,0,COUNTIFS(Sesiones!$A$4:$A$903,$A9,Sesiones!$B$4:$B$903,Parámetros!$B$24)/Parámetros!$D$24)</f>
        <v>0</v>
      </c>
      <c r="R9" s="21" t="n">
        <f aca="false">IF(Parámetros!$D$25=0,0,COUNTIFS(Sesiones!$A$4:$A$903,$A9,Sesiones!$B$4:$B$903,Parámetros!$B$25)/Parámetros!$D$25)</f>
        <v>0</v>
      </c>
      <c r="S9" s="21" t="n">
        <f aca="false">IF(Parámetros!$D$26=0,0,COUNTIFS(Sesiones!$A$4:$A$903,$A9,Sesiones!$B$4:$B$903,Parámetros!$B$26)/Parámetros!$D$26)</f>
        <v>0</v>
      </c>
      <c r="T9" s="21" t="n">
        <f aca="false">IF(Parámetros!$D$27=0,0,COUNTIFS(Sesiones!$A$4:$A$903,$A9,Sesiones!$B$4:$B$903,Parámetros!$B$27)/Parámetros!$D$27)</f>
        <v>0</v>
      </c>
    </row>
    <row r="10" customFormat="false" ht="15" hidden="false" customHeight="false" outlineLevel="0" collapsed="false">
      <c r="A10" s="38" t="n">
        <f aca="false">DATE(Parámetros!$C$6,Parámetros!$C$7,7)</f>
        <v>46241</v>
      </c>
      <c r="B10" s="10" t="n">
        <f aca="false">SUMIFS('Caja Diaria'!$F$4:$F$403,'Caja Diaria'!$B$4:$B$403,"Ingreso",'Caja Diaria'!$A$4:$A$403,$A10)</f>
        <v>0</v>
      </c>
      <c r="C10" s="10" t="n">
        <f aca="false">SUMIFS('Caja Diaria'!$F$4:$F$403,'Caja Diaria'!$B$4:$B$403,"Egreso",'Caja Diaria'!$A$4:$A$403,$A10)</f>
        <v>0</v>
      </c>
      <c r="D10" s="39" t="n">
        <f aca="false">B10-C10</f>
        <v>0</v>
      </c>
      <c r="E10" s="39" t="n">
        <f aca="false">E9+D10</f>
        <v>5761500</v>
      </c>
      <c r="F10" s="39" t="n">
        <f aca="false">F9+SUMIFS('Caja Diaria'!$F$4:$F$403,'Caja Diaria'!$B$4:$B$403,"Ingreso",'Caja Diaria'!$E$4:$E$403,"Efectivo",'Caja Diaria'!$A$4:$A$403,$A10)-SUMIFS('Caja Diaria'!$F$4:$F$403,'Caja Diaria'!$B$4:$B$403,"Egreso",'Caja Diaria'!$E$4:$E$403,"Efectivo",'Caja Diaria'!$A$4:$A$403,$A10)</f>
        <v>468000</v>
      </c>
      <c r="G10" s="10" t="n">
        <f aca="false">B10/Parámetros!$C$8</f>
        <v>0</v>
      </c>
      <c r="H10" s="21" t="n">
        <f aca="false">IF(Parámetros!$D$15=0,0,COUNTIFS(Sesiones!$A$4:$A$903,$A10,Sesiones!$B$4:$B$903,Parámetros!$B$15)/Parámetros!$D$15)</f>
        <v>0</v>
      </c>
      <c r="I10" s="21" t="n">
        <f aca="false">IF(Parámetros!$D$16=0,0,COUNTIFS(Sesiones!$A$4:$A$903,$A10,Sesiones!$B$4:$B$903,Parámetros!$B$16)/Parámetros!$D$16)</f>
        <v>0</v>
      </c>
      <c r="J10" s="21" t="n">
        <f aca="false">IF(Parámetros!$D$17=0,0,COUNTIFS(Sesiones!$A$4:$A$903,$A10,Sesiones!$B$4:$B$903,Parámetros!$B$17)/Parámetros!$D$17)</f>
        <v>0</v>
      </c>
      <c r="K10" s="21" t="n">
        <f aca="false">IF(Parámetros!$D$18=0,0,COUNTIFS(Sesiones!$A$4:$A$903,$A10,Sesiones!$B$4:$B$903,Parámetros!$B$18)/Parámetros!$D$18)</f>
        <v>0</v>
      </c>
      <c r="L10" s="21" t="n">
        <f aca="false">IF(Parámetros!$D$19=0,0,COUNTIFS(Sesiones!$A$4:$A$903,$A10,Sesiones!$B$4:$B$903,Parámetros!$B$19)/Parámetros!$D$19)</f>
        <v>0</v>
      </c>
      <c r="M10" s="21" t="n">
        <f aca="false">IF(Parámetros!$D$20=0,0,COUNTIFS(Sesiones!$A$4:$A$903,$A10,Sesiones!$B$4:$B$903,Parámetros!$B$20)/Parámetros!$D$20)</f>
        <v>0</v>
      </c>
      <c r="N10" s="21" t="n">
        <f aca="false">IF(Parámetros!$D$21=0,0,COUNTIFS(Sesiones!$A$4:$A$903,$A10,Sesiones!$B$4:$B$903,Parámetros!$B$21)/Parámetros!$D$21)</f>
        <v>0</v>
      </c>
      <c r="O10" s="21" t="n">
        <f aca="false">IF(Parámetros!$D$22=0,0,COUNTIFS(Sesiones!$A$4:$A$903,$A10,Sesiones!$B$4:$B$903,Parámetros!$B$22)/Parámetros!$D$22)</f>
        <v>0</v>
      </c>
      <c r="P10" s="21" t="n">
        <f aca="false">IF(Parámetros!$D$23=0,0,COUNTIFS(Sesiones!$A$4:$A$903,$A10,Sesiones!$B$4:$B$903,Parámetros!$B$23)/Parámetros!$D$23)</f>
        <v>0</v>
      </c>
      <c r="Q10" s="21" t="n">
        <f aca="false">IF(Parámetros!$D$24=0,0,COUNTIFS(Sesiones!$A$4:$A$903,$A10,Sesiones!$B$4:$B$903,Parámetros!$B$24)/Parámetros!$D$24)</f>
        <v>0</v>
      </c>
      <c r="R10" s="21" t="n">
        <f aca="false">IF(Parámetros!$D$25=0,0,COUNTIFS(Sesiones!$A$4:$A$903,$A10,Sesiones!$B$4:$B$903,Parámetros!$B$25)/Parámetros!$D$25)</f>
        <v>0</v>
      </c>
      <c r="S10" s="21" t="n">
        <f aca="false">IF(Parámetros!$D$26=0,0,COUNTIFS(Sesiones!$A$4:$A$903,$A10,Sesiones!$B$4:$B$903,Parámetros!$B$26)/Parámetros!$D$26)</f>
        <v>0</v>
      </c>
      <c r="T10" s="21" t="n">
        <f aca="false">IF(Parámetros!$D$27=0,0,COUNTIFS(Sesiones!$A$4:$A$903,$A10,Sesiones!$B$4:$B$903,Parámetros!$B$27)/Parámetros!$D$27)</f>
        <v>0</v>
      </c>
    </row>
    <row r="11" customFormat="false" ht="15" hidden="false" customHeight="false" outlineLevel="0" collapsed="false">
      <c r="A11" s="38" t="n">
        <f aca="false">DATE(Parámetros!$C$6,Parámetros!$C$7,8)</f>
        <v>46242</v>
      </c>
      <c r="B11" s="10" t="n">
        <f aca="false">SUMIFS('Caja Diaria'!$F$4:$F$403,'Caja Diaria'!$B$4:$B$403,"Ingreso",'Caja Diaria'!$A$4:$A$403,$A11)</f>
        <v>0</v>
      </c>
      <c r="C11" s="10" t="n">
        <f aca="false">SUMIFS('Caja Diaria'!$F$4:$F$403,'Caja Diaria'!$B$4:$B$403,"Egreso",'Caja Diaria'!$A$4:$A$403,$A11)</f>
        <v>0</v>
      </c>
      <c r="D11" s="39" t="n">
        <f aca="false">B11-C11</f>
        <v>0</v>
      </c>
      <c r="E11" s="39" t="n">
        <f aca="false">E10+D11</f>
        <v>5761500</v>
      </c>
      <c r="F11" s="39" t="n">
        <f aca="false">F10+SUMIFS('Caja Diaria'!$F$4:$F$403,'Caja Diaria'!$B$4:$B$403,"Ingreso",'Caja Diaria'!$E$4:$E$403,"Efectivo",'Caja Diaria'!$A$4:$A$403,$A11)-SUMIFS('Caja Diaria'!$F$4:$F$403,'Caja Diaria'!$B$4:$B$403,"Egreso",'Caja Diaria'!$E$4:$E$403,"Efectivo",'Caja Diaria'!$A$4:$A$403,$A11)</f>
        <v>468000</v>
      </c>
      <c r="G11" s="10" t="n">
        <f aca="false">B11/Parámetros!$C$8</f>
        <v>0</v>
      </c>
      <c r="H11" s="21" t="n">
        <f aca="false">IF(Parámetros!$D$15=0,0,COUNTIFS(Sesiones!$A$4:$A$903,$A11,Sesiones!$B$4:$B$903,Parámetros!$B$15)/Parámetros!$D$15)</f>
        <v>0</v>
      </c>
      <c r="I11" s="21" t="n">
        <f aca="false">IF(Parámetros!$D$16=0,0,COUNTIFS(Sesiones!$A$4:$A$903,$A11,Sesiones!$B$4:$B$903,Parámetros!$B$16)/Parámetros!$D$16)</f>
        <v>0</v>
      </c>
      <c r="J11" s="21" t="n">
        <f aca="false">IF(Parámetros!$D$17=0,0,COUNTIFS(Sesiones!$A$4:$A$903,$A11,Sesiones!$B$4:$B$903,Parámetros!$B$17)/Parámetros!$D$17)</f>
        <v>0</v>
      </c>
      <c r="K11" s="21" t="n">
        <f aca="false">IF(Parámetros!$D$18=0,0,COUNTIFS(Sesiones!$A$4:$A$903,$A11,Sesiones!$B$4:$B$903,Parámetros!$B$18)/Parámetros!$D$18)</f>
        <v>0</v>
      </c>
      <c r="L11" s="21" t="n">
        <f aca="false">IF(Parámetros!$D$19=0,0,COUNTIFS(Sesiones!$A$4:$A$903,$A11,Sesiones!$B$4:$B$903,Parámetros!$B$19)/Parámetros!$D$19)</f>
        <v>0</v>
      </c>
      <c r="M11" s="21" t="n">
        <f aca="false">IF(Parámetros!$D$20=0,0,COUNTIFS(Sesiones!$A$4:$A$903,$A11,Sesiones!$B$4:$B$903,Parámetros!$B$20)/Parámetros!$D$20)</f>
        <v>0</v>
      </c>
      <c r="N11" s="21" t="n">
        <f aca="false">IF(Parámetros!$D$21=0,0,COUNTIFS(Sesiones!$A$4:$A$903,$A11,Sesiones!$B$4:$B$903,Parámetros!$B$21)/Parámetros!$D$21)</f>
        <v>0</v>
      </c>
      <c r="O11" s="21" t="n">
        <f aca="false">IF(Parámetros!$D$22=0,0,COUNTIFS(Sesiones!$A$4:$A$903,$A11,Sesiones!$B$4:$B$903,Parámetros!$B$22)/Parámetros!$D$22)</f>
        <v>0</v>
      </c>
      <c r="P11" s="21" t="n">
        <f aca="false">IF(Parámetros!$D$23=0,0,COUNTIFS(Sesiones!$A$4:$A$903,$A11,Sesiones!$B$4:$B$903,Parámetros!$B$23)/Parámetros!$D$23)</f>
        <v>0</v>
      </c>
      <c r="Q11" s="21" t="n">
        <f aca="false">IF(Parámetros!$D$24=0,0,COUNTIFS(Sesiones!$A$4:$A$903,$A11,Sesiones!$B$4:$B$903,Parámetros!$B$24)/Parámetros!$D$24)</f>
        <v>0</v>
      </c>
      <c r="R11" s="21" t="n">
        <f aca="false">IF(Parámetros!$D$25=0,0,COUNTIFS(Sesiones!$A$4:$A$903,$A11,Sesiones!$B$4:$B$903,Parámetros!$B$25)/Parámetros!$D$25)</f>
        <v>0</v>
      </c>
      <c r="S11" s="21" t="n">
        <f aca="false">IF(Parámetros!$D$26=0,0,COUNTIFS(Sesiones!$A$4:$A$903,$A11,Sesiones!$B$4:$B$903,Parámetros!$B$26)/Parámetros!$D$26)</f>
        <v>0</v>
      </c>
      <c r="T11" s="21" t="n">
        <f aca="false">IF(Parámetros!$D$27=0,0,COUNTIFS(Sesiones!$A$4:$A$903,$A11,Sesiones!$B$4:$B$903,Parámetros!$B$27)/Parámetros!$D$27)</f>
        <v>0</v>
      </c>
    </row>
    <row r="12" customFormat="false" ht="15" hidden="false" customHeight="false" outlineLevel="0" collapsed="false">
      <c r="A12" s="38" t="n">
        <f aca="false">DATE(Parámetros!$C$6,Parámetros!$C$7,9)</f>
        <v>46243</v>
      </c>
      <c r="B12" s="10" t="n">
        <f aca="false">SUMIFS('Caja Diaria'!$F$4:$F$403,'Caja Diaria'!$B$4:$B$403,"Ingreso",'Caja Diaria'!$A$4:$A$403,$A12)</f>
        <v>0</v>
      </c>
      <c r="C12" s="10" t="n">
        <f aca="false">SUMIFS('Caja Diaria'!$F$4:$F$403,'Caja Diaria'!$B$4:$B$403,"Egreso",'Caja Diaria'!$A$4:$A$403,$A12)</f>
        <v>0</v>
      </c>
      <c r="D12" s="39" t="n">
        <f aca="false">B12-C12</f>
        <v>0</v>
      </c>
      <c r="E12" s="39" t="n">
        <f aca="false">E11+D12</f>
        <v>5761500</v>
      </c>
      <c r="F12" s="39" t="n">
        <f aca="false">F11+SUMIFS('Caja Diaria'!$F$4:$F$403,'Caja Diaria'!$B$4:$B$403,"Ingreso",'Caja Diaria'!$E$4:$E$403,"Efectivo",'Caja Diaria'!$A$4:$A$403,$A12)-SUMIFS('Caja Diaria'!$F$4:$F$403,'Caja Diaria'!$B$4:$B$403,"Egreso",'Caja Diaria'!$E$4:$E$403,"Efectivo",'Caja Diaria'!$A$4:$A$403,$A12)</f>
        <v>468000</v>
      </c>
      <c r="G12" s="10" t="n">
        <f aca="false">B12/Parámetros!$C$8</f>
        <v>0</v>
      </c>
      <c r="H12" s="21" t="n">
        <f aca="false">IF(Parámetros!$D$15=0,0,COUNTIFS(Sesiones!$A$4:$A$903,$A12,Sesiones!$B$4:$B$903,Parámetros!$B$15)/Parámetros!$D$15)</f>
        <v>0</v>
      </c>
      <c r="I12" s="21" t="n">
        <f aca="false">IF(Parámetros!$D$16=0,0,COUNTIFS(Sesiones!$A$4:$A$903,$A12,Sesiones!$B$4:$B$903,Parámetros!$B$16)/Parámetros!$D$16)</f>
        <v>0</v>
      </c>
      <c r="J12" s="21" t="n">
        <f aca="false">IF(Parámetros!$D$17=0,0,COUNTIFS(Sesiones!$A$4:$A$903,$A12,Sesiones!$B$4:$B$903,Parámetros!$B$17)/Parámetros!$D$17)</f>
        <v>0</v>
      </c>
      <c r="K12" s="21" t="n">
        <f aca="false">IF(Parámetros!$D$18=0,0,COUNTIFS(Sesiones!$A$4:$A$903,$A12,Sesiones!$B$4:$B$903,Parámetros!$B$18)/Parámetros!$D$18)</f>
        <v>0</v>
      </c>
      <c r="L12" s="21" t="n">
        <f aca="false">IF(Parámetros!$D$19=0,0,COUNTIFS(Sesiones!$A$4:$A$903,$A12,Sesiones!$B$4:$B$903,Parámetros!$B$19)/Parámetros!$D$19)</f>
        <v>0</v>
      </c>
      <c r="M12" s="21" t="n">
        <f aca="false">IF(Parámetros!$D$20=0,0,COUNTIFS(Sesiones!$A$4:$A$903,$A12,Sesiones!$B$4:$B$903,Parámetros!$B$20)/Parámetros!$D$20)</f>
        <v>0</v>
      </c>
      <c r="N12" s="21" t="n">
        <f aca="false">IF(Parámetros!$D$21=0,0,COUNTIFS(Sesiones!$A$4:$A$903,$A12,Sesiones!$B$4:$B$903,Parámetros!$B$21)/Parámetros!$D$21)</f>
        <v>0</v>
      </c>
      <c r="O12" s="21" t="n">
        <f aca="false">IF(Parámetros!$D$22=0,0,COUNTIFS(Sesiones!$A$4:$A$903,$A12,Sesiones!$B$4:$B$903,Parámetros!$B$22)/Parámetros!$D$22)</f>
        <v>0</v>
      </c>
      <c r="P12" s="21" t="n">
        <f aca="false">IF(Parámetros!$D$23=0,0,COUNTIFS(Sesiones!$A$4:$A$903,$A12,Sesiones!$B$4:$B$903,Parámetros!$B$23)/Parámetros!$D$23)</f>
        <v>0</v>
      </c>
      <c r="Q12" s="21" t="n">
        <f aca="false">IF(Parámetros!$D$24=0,0,COUNTIFS(Sesiones!$A$4:$A$903,$A12,Sesiones!$B$4:$B$903,Parámetros!$B$24)/Parámetros!$D$24)</f>
        <v>0</v>
      </c>
      <c r="R12" s="21" t="n">
        <f aca="false">IF(Parámetros!$D$25=0,0,COUNTIFS(Sesiones!$A$4:$A$903,$A12,Sesiones!$B$4:$B$903,Parámetros!$B$25)/Parámetros!$D$25)</f>
        <v>0</v>
      </c>
      <c r="S12" s="21" t="n">
        <f aca="false">IF(Parámetros!$D$26=0,0,COUNTIFS(Sesiones!$A$4:$A$903,$A12,Sesiones!$B$4:$B$903,Parámetros!$B$26)/Parámetros!$D$26)</f>
        <v>0</v>
      </c>
      <c r="T12" s="21" t="n">
        <f aca="false">IF(Parámetros!$D$27=0,0,COUNTIFS(Sesiones!$A$4:$A$903,$A12,Sesiones!$B$4:$B$903,Parámetros!$B$27)/Parámetros!$D$27)</f>
        <v>0</v>
      </c>
    </row>
    <row r="13" customFormat="false" ht="15" hidden="false" customHeight="false" outlineLevel="0" collapsed="false">
      <c r="A13" s="38" t="n">
        <f aca="false">DATE(Parámetros!$C$6,Parámetros!$C$7,10)</f>
        <v>46244</v>
      </c>
      <c r="B13" s="10" t="n">
        <f aca="false">SUMIFS('Caja Diaria'!$F$4:$F$403,'Caja Diaria'!$B$4:$B$403,"Ingreso",'Caja Diaria'!$A$4:$A$403,$A13)</f>
        <v>0</v>
      </c>
      <c r="C13" s="10" t="n">
        <f aca="false">SUMIFS('Caja Diaria'!$F$4:$F$403,'Caja Diaria'!$B$4:$B$403,"Egreso",'Caja Diaria'!$A$4:$A$403,$A13)</f>
        <v>0</v>
      </c>
      <c r="D13" s="39" t="n">
        <f aca="false">B13-C13</f>
        <v>0</v>
      </c>
      <c r="E13" s="39" t="n">
        <f aca="false">E12+D13</f>
        <v>5761500</v>
      </c>
      <c r="F13" s="39" t="n">
        <f aca="false">F12+SUMIFS('Caja Diaria'!$F$4:$F$403,'Caja Diaria'!$B$4:$B$403,"Ingreso",'Caja Diaria'!$E$4:$E$403,"Efectivo",'Caja Diaria'!$A$4:$A$403,$A13)-SUMIFS('Caja Diaria'!$F$4:$F$403,'Caja Diaria'!$B$4:$B$403,"Egreso",'Caja Diaria'!$E$4:$E$403,"Efectivo",'Caja Diaria'!$A$4:$A$403,$A13)</f>
        <v>468000</v>
      </c>
      <c r="G13" s="10" t="n">
        <f aca="false">B13/Parámetros!$C$8</f>
        <v>0</v>
      </c>
      <c r="H13" s="21" t="n">
        <f aca="false">IF(Parámetros!$D$15=0,0,COUNTIFS(Sesiones!$A$4:$A$903,$A13,Sesiones!$B$4:$B$903,Parámetros!$B$15)/Parámetros!$D$15)</f>
        <v>0</v>
      </c>
      <c r="I13" s="21" t="n">
        <f aca="false">IF(Parámetros!$D$16=0,0,COUNTIFS(Sesiones!$A$4:$A$903,$A13,Sesiones!$B$4:$B$903,Parámetros!$B$16)/Parámetros!$D$16)</f>
        <v>0</v>
      </c>
      <c r="J13" s="21" t="n">
        <f aca="false">IF(Parámetros!$D$17=0,0,COUNTIFS(Sesiones!$A$4:$A$903,$A13,Sesiones!$B$4:$B$903,Parámetros!$B$17)/Parámetros!$D$17)</f>
        <v>0</v>
      </c>
      <c r="K13" s="21" t="n">
        <f aca="false">IF(Parámetros!$D$18=0,0,COUNTIFS(Sesiones!$A$4:$A$903,$A13,Sesiones!$B$4:$B$903,Parámetros!$B$18)/Parámetros!$D$18)</f>
        <v>0</v>
      </c>
      <c r="L13" s="21" t="n">
        <f aca="false">IF(Parámetros!$D$19=0,0,COUNTIFS(Sesiones!$A$4:$A$903,$A13,Sesiones!$B$4:$B$903,Parámetros!$B$19)/Parámetros!$D$19)</f>
        <v>0</v>
      </c>
      <c r="M13" s="21" t="n">
        <f aca="false">IF(Parámetros!$D$20=0,0,COUNTIFS(Sesiones!$A$4:$A$903,$A13,Sesiones!$B$4:$B$903,Parámetros!$B$20)/Parámetros!$D$20)</f>
        <v>0</v>
      </c>
      <c r="N13" s="21" t="n">
        <f aca="false">IF(Parámetros!$D$21=0,0,COUNTIFS(Sesiones!$A$4:$A$903,$A13,Sesiones!$B$4:$B$903,Parámetros!$B$21)/Parámetros!$D$21)</f>
        <v>0</v>
      </c>
      <c r="O13" s="21" t="n">
        <f aca="false">IF(Parámetros!$D$22=0,0,COUNTIFS(Sesiones!$A$4:$A$903,$A13,Sesiones!$B$4:$B$903,Parámetros!$B$22)/Parámetros!$D$22)</f>
        <v>0</v>
      </c>
      <c r="P13" s="21" t="n">
        <f aca="false">IF(Parámetros!$D$23=0,0,COUNTIFS(Sesiones!$A$4:$A$903,$A13,Sesiones!$B$4:$B$903,Parámetros!$B$23)/Parámetros!$D$23)</f>
        <v>0</v>
      </c>
      <c r="Q13" s="21" t="n">
        <f aca="false">IF(Parámetros!$D$24=0,0,COUNTIFS(Sesiones!$A$4:$A$903,$A13,Sesiones!$B$4:$B$903,Parámetros!$B$24)/Parámetros!$D$24)</f>
        <v>0</v>
      </c>
      <c r="R13" s="21" t="n">
        <f aca="false">IF(Parámetros!$D$25=0,0,COUNTIFS(Sesiones!$A$4:$A$903,$A13,Sesiones!$B$4:$B$903,Parámetros!$B$25)/Parámetros!$D$25)</f>
        <v>0</v>
      </c>
      <c r="S13" s="21" t="n">
        <f aca="false">IF(Parámetros!$D$26=0,0,COUNTIFS(Sesiones!$A$4:$A$903,$A13,Sesiones!$B$4:$B$903,Parámetros!$B$26)/Parámetros!$D$26)</f>
        <v>0</v>
      </c>
      <c r="T13" s="21" t="n">
        <f aca="false">IF(Parámetros!$D$27=0,0,COUNTIFS(Sesiones!$A$4:$A$903,$A13,Sesiones!$B$4:$B$903,Parámetros!$B$27)/Parámetros!$D$27)</f>
        <v>0</v>
      </c>
    </row>
    <row r="14" customFormat="false" ht="15" hidden="false" customHeight="false" outlineLevel="0" collapsed="false">
      <c r="A14" s="38" t="n">
        <f aca="false">DATE(Parámetros!$C$6,Parámetros!$C$7,11)</f>
        <v>46245</v>
      </c>
      <c r="B14" s="10" t="n">
        <f aca="false">SUMIFS('Caja Diaria'!$F$4:$F$403,'Caja Diaria'!$B$4:$B$403,"Ingreso",'Caja Diaria'!$A$4:$A$403,$A14)</f>
        <v>0</v>
      </c>
      <c r="C14" s="10" t="n">
        <f aca="false">SUMIFS('Caja Diaria'!$F$4:$F$403,'Caja Diaria'!$B$4:$B$403,"Egreso",'Caja Diaria'!$A$4:$A$403,$A14)</f>
        <v>0</v>
      </c>
      <c r="D14" s="39" t="n">
        <f aca="false">B14-C14</f>
        <v>0</v>
      </c>
      <c r="E14" s="39" t="n">
        <f aca="false">E13+D14</f>
        <v>5761500</v>
      </c>
      <c r="F14" s="39" t="n">
        <f aca="false">F13+SUMIFS('Caja Diaria'!$F$4:$F$403,'Caja Diaria'!$B$4:$B$403,"Ingreso",'Caja Diaria'!$E$4:$E$403,"Efectivo",'Caja Diaria'!$A$4:$A$403,$A14)-SUMIFS('Caja Diaria'!$F$4:$F$403,'Caja Diaria'!$B$4:$B$403,"Egreso",'Caja Diaria'!$E$4:$E$403,"Efectivo",'Caja Diaria'!$A$4:$A$403,$A14)</f>
        <v>468000</v>
      </c>
      <c r="G14" s="10" t="n">
        <f aca="false">B14/Parámetros!$C$8</f>
        <v>0</v>
      </c>
      <c r="H14" s="21" t="n">
        <f aca="false">IF(Parámetros!$D$15=0,0,COUNTIFS(Sesiones!$A$4:$A$903,$A14,Sesiones!$B$4:$B$903,Parámetros!$B$15)/Parámetros!$D$15)</f>
        <v>0</v>
      </c>
      <c r="I14" s="21" t="n">
        <f aca="false">IF(Parámetros!$D$16=0,0,COUNTIFS(Sesiones!$A$4:$A$903,$A14,Sesiones!$B$4:$B$903,Parámetros!$B$16)/Parámetros!$D$16)</f>
        <v>0</v>
      </c>
      <c r="J14" s="21" t="n">
        <f aca="false">IF(Parámetros!$D$17=0,0,COUNTIFS(Sesiones!$A$4:$A$903,$A14,Sesiones!$B$4:$B$903,Parámetros!$B$17)/Parámetros!$D$17)</f>
        <v>0</v>
      </c>
      <c r="K14" s="21" t="n">
        <f aca="false">IF(Parámetros!$D$18=0,0,COUNTIFS(Sesiones!$A$4:$A$903,$A14,Sesiones!$B$4:$B$903,Parámetros!$B$18)/Parámetros!$D$18)</f>
        <v>0</v>
      </c>
      <c r="L14" s="21" t="n">
        <f aca="false">IF(Parámetros!$D$19=0,0,COUNTIFS(Sesiones!$A$4:$A$903,$A14,Sesiones!$B$4:$B$903,Parámetros!$B$19)/Parámetros!$D$19)</f>
        <v>0</v>
      </c>
      <c r="M14" s="21" t="n">
        <f aca="false">IF(Parámetros!$D$20=0,0,COUNTIFS(Sesiones!$A$4:$A$903,$A14,Sesiones!$B$4:$B$903,Parámetros!$B$20)/Parámetros!$D$20)</f>
        <v>0</v>
      </c>
      <c r="N14" s="21" t="n">
        <f aca="false">IF(Parámetros!$D$21=0,0,COUNTIFS(Sesiones!$A$4:$A$903,$A14,Sesiones!$B$4:$B$903,Parámetros!$B$21)/Parámetros!$D$21)</f>
        <v>0</v>
      </c>
      <c r="O14" s="21" t="n">
        <f aca="false">IF(Parámetros!$D$22=0,0,COUNTIFS(Sesiones!$A$4:$A$903,$A14,Sesiones!$B$4:$B$903,Parámetros!$B$22)/Parámetros!$D$22)</f>
        <v>0</v>
      </c>
      <c r="P14" s="21" t="n">
        <f aca="false">IF(Parámetros!$D$23=0,0,COUNTIFS(Sesiones!$A$4:$A$903,$A14,Sesiones!$B$4:$B$903,Parámetros!$B$23)/Parámetros!$D$23)</f>
        <v>0</v>
      </c>
      <c r="Q14" s="21" t="n">
        <f aca="false">IF(Parámetros!$D$24=0,0,COUNTIFS(Sesiones!$A$4:$A$903,$A14,Sesiones!$B$4:$B$903,Parámetros!$B$24)/Parámetros!$D$24)</f>
        <v>0</v>
      </c>
      <c r="R14" s="21" t="n">
        <f aca="false">IF(Parámetros!$D$25=0,0,COUNTIFS(Sesiones!$A$4:$A$903,$A14,Sesiones!$B$4:$B$903,Parámetros!$B$25)/Parámetros!$D$25)</f>
        <v>0</v>
      </c>
      <c r="S14" s="21" t="n">
        <f aca="false">IF(Parámetros!$D$26=0,0,COUNTIFS(Sesiones!$A$4:$A$903,$A14,Sesiones!$B$4:$B$903,Parámetros!$B$26)/Parámetros!$D$26)</f>
        <v>0</v>
      </c>
      <c r="T14" s="21" t="n">
        <f aca="false">IF(Parámetros!$D$27=0,0,COUNTIFS(Sesiones!$A$4:$A$903,$A14,Sesiones!$B$4:$B$903,Parámetros!$B$27)/Parámetros!$D$27)</f>
        <v>0</v>
      </c>
    </row>
    <row r="15" customFormat="false" ht="15" hidden="false" customHeight="false" outlineLevel="0" collapsed="false">
      <c r="A15" s="38" t="n">
        <f aca="false">DATE(Parámetros!$C$6,Parámetros!$C$7,12)</f>
        <v>46246</v>
      </c>
      <c r="B15" s="10" t="n">
        <f aca="false">SUMIFS('Caja Diaria'!$F$4:$F$403,'Caja Diaria'!$B$4:$B$403,"Ingreso",'Caja Diaria'!$A$4:$A$403,$A15)</f>
        <v>0</v>
      </c>
      <c r="C15" s="10" t="n">
        <f aca="false">SUMIFS('Caja Diaria'!$F$4:$F$403,'Caja Diaria'!$B$4:$B$403,"Egreso",'Caja Diaria'!$A$4:$A$403,$A15)</f>
        <v>0</v>
      </c>
      <c r="D15" s="39" t="n">
        <f aca="false">B15-C15</f>
        <v>0</v>
      </c>
      <c r="E15" s="39" t="n">
        <f aca="false">E14+D15</f>
        <v>5761500</v>
      </c>
      <c r="F15" s="39" t="n">
        <f aca="false">F14+SUMIFS('Caja Diaria'!$F$4:$F$403,'Caja Diaria'!$B$4:$B$403,"Ingreso",'Caja Diaria'!$E$4:$E$403,"Efectivo",'Caja Diaria'!$A$4:$A$403,$A15)-SUMIFS('Caja Diaria'!$F$4:$F$403,'Caja Diaria'!$B$4:$B$403,"Egreso",'Caja Diaria'!$E$4:$E$403,"Efectivo",'Caja Diaria'!$A$4:$A$403,$A15)</f>
        <v>468000</v>
      </c>
      <c r="G15" s="10" t="n">
        <f aca="false">B15/Parámetros!$C$8</f>
        <v>0</v>
      </c>
      <c r="H15" s="21" t="n">
        <f aca="false">IF(Parámetros!$D$15=0,0,COUNTIFS(Sesiones!$A$4:$A$903,$A15,Sesiones!$B$4:$B$903,Parámetros!$B$15)/Parámetros!$D$15)</f>
        <v>0</v>
      </c>
      <c r="I15" s="21" t="n">
        <f aca="false">IF(Parámetros!$D$16=0,0,COUNTIFS(Sesiones!$A$4:$A$903,$A15,Sesiones!$B$4:$B$903,Parámetros!$B$16)/Parámetros!$D$16)</f>
        <v>0</v>
      </c>
      <c r="J15" s="21" t="n">
        <f aca="false">IF(Parámetros!$D$17=0,0,COUNTIFS(Sesiones!$A$4:$A$903,$A15,Sesiones!$B$4:$B$903,Parámetros!$B$17)/Parámetros!$D$17)</f>
        <v>0</v>
      </c>
      <c r="K15" s="21" t="n">
        <f aca="false">IF(Parámetros!$D$18=0,0,COUNTIFS(Sesiones!$A$4:$A$903,$A15,Sesiones!$B$4:$B$903,Parámetros!$B$18)/Parámetros!$D$18)</f>
        <v>0</v>
      </c>
      <c r="L15" s="21" t="n">
        <f aca="false">IF(Parámetros!$D$19=0,0,COUNTIFS(Sesiones!$A$4:$A$903,$A15,Sesiones!$B$4:$B$903,Parámetros!$B$19)/Parámetros!$D$19)</f>
        <v>0</v>
      </c>
      <c r="M15" s="21" t="n">
        <f aca="false">IF(Parámetros!$D$20=0,0,COUNTIFS(Sesiones!$A$4:$A$903,$A15,Sesiones!$B$4:$B$903,Parámetros!$B$20)/Parámetros!$D$20)</f>
        <v>0</v>
      </c>
      <c r="N15" s="21" t="n">
        <f aca="false">IF(Parámetros!$D$21=0,0,COUNTIFS(Sesiones!$A$4:$A$903,$A15,Sesiones!$B$4:$B$903,Parámetros!$B$21)/Parámetros!$D$21)</f>
        <v>0</v>
      </c>
      <c r="O15" s="21" t="n">
        <f aca="false">IF(Parámetros!$D$22=0,0,COUNTIFS(Sesiones!$A$4:$A$903,$A15,Sesiones!$B$4:$B$903,Parámetros!$B$22)/Parámetros!$D$22)</f>
        <v>0</v>
      </c>
      <c r="P15" s="21" t="n">
        <f aca="false">IF(Parámetros!$D$23=0,0,COUNTIFS(Sesiones!$A$4:$A$903,$A15,Sesiones!$B$4:$B$903,Parámetros!$B$23)/Parámetros!$D$23)</f>
        <v>0</v>
      </c>
      <c r="Q15" s="21" t="n">
        <f aca="false">IF(Parámetros!$D$24=0,0,COUNTIFS(Sesiones!$A$4:$A$903,$A15,Sesiones!$B$4:$B$903,Parámetros!$B$24)/Parámetros!$D$24)</f>
        <v>0</v>
      </c>
      <c r="R15" s="21" t="n">
        <f aca="false">IF(Parámetros!$D$25=0,0,COUNTIFS(Sesiones!$A$4:$A$903,$A15,Sesiones!$B$4:$B$903,Parámetros!$B$25)/Parámetros!$D$25)</f>
        <v>0</v>
      </c>
      <c r="S15" s="21" t="n">
        <f aca="false">IF(Parámetros!$D$26=0,0,COUNTIFS(Sesiones!$A$4:$A$903,$A15,Sesiones!$B$4:$B$903,Parámetros!$B$26)/Parámetros!$D$26)</f>
        <v>0</v>
      </c>
      <c r="T15" s="21" t="n">
        <f aca="false">IF(Parámetros!$D$27=0,0,COUNTIFS(Sesiones!$A$4:$A$903,$A15,Sesiones!$B$4:$B$903,Parámetros!$B$27)/Parámetros!$D$27)</f>
        <v>0</v>
      </c>
    </row>
    <row r="16" customFormat="false" ht="15" hidden="false" customHeight="false" outlineLevel="0" collapsed="false">
      <c r="A16" s="38" t="n">
        <f aca="false">DATE(Parámetros!$C$6,Parámetros!$C$7,13)</f>
        <v>46247</v>
      </c>
      <c r="B16" s="10" t="n">
        <f aca="false">SUMIFS('Caja Diaria'!$F$4:$F$403,'Caja Diaria'!$B$4:$B$403,"Ingreso",'Caja Diaria'!$A$4:$A$403,$A16)</f>
        <v>0</v>
      </c>
      <c r="C16" s="10" t="n">
        <f aca="false">SUMIFS('Caja Diaria'!$F$4:$F$403,'Caja Diaria'!$B$4:$B$403,"Egreso",'Caja Diaria'!$A$4:$A$403,$A16)</f>
        <v>0</v>
      </c>
      <c r="D16" s="39" t="n">
        <f aca="false">B16-C16</f>
        <v>0</v>
      </c>
      <c r="E16" s="39" t="n">
        <f aca="false">E15+D16</f>
        <v>5761500</v>
      </c>
      <c r="F16" s="39" t="n">
        <f aca="false">F15+SUMIFS('Caja Diaria'!$F$4:$F$403,'Caja Diaria'!$B$4:$B$403,"Ingreso",'Caja Diaria'!$E$4:$E$403,"Efectivo",'Caja Diaria'!$A$4:$A$403,$A16)-SUMIFS('Caja Diaria'!$F$4:$F$403,'Caja Diaria'!$B$4:$B$403,"Egreso",'Caja Diaria'!$E$4:$E$403,"Efectivo",'Caja Diaria'!$A$4:$A$403,$A16)</f>
        <v>468000</v>
      </c>
      <c r="G16" s="10" t="n">
        <f aca="false">B16/Parámetros!$C$8</f>
        <v>0</v>
      </c>
      <c r="H16" s="21" t="n">
        <f aca="false">IF(Parámetros!$D$15=0,0,COUNTIFS(Sesiones!$A$4:$A$903,$A16,Sesiones!$B$4:$B$903,Parámetros!$B$15)/Parámetros!$D$15)</f>
        <v>0</v>
      </c>
      <c r="I16" s="21" t="n">
        <f aca="false">IF(Parámetros!$D$16=0,0,COUNTIFS(Sesiones!$A$4:$A$903,$A16,Sesiones!$B$4:$B$903,Parámetros!$B$16)/Parámetros!$D$16)</f>
        <v>0</v>
      </c>
      <c r="J16" s="21" t="n">
        <f aca="false">IF(Parámetros!$D$17=0,0,COUNTIFS(Sesiones!$A$4:$A$903,$A16,Sesiones!$B$4:$B$903,Parámetros!$B$17)/Parámetros!$D$17)</f>
        <v>0</v>
      </c>
      <c r="K16" s="21" t="n">
        <f aca="false">IF(Parámetros!$D$18=0,0,COUNTIFS(Sesiones!$A$4:$A$903,$A16,Sesiones!$B$4:$B$903,Parámetros!$B$18)/Parámetros!$D$18)</f>
        <v>0</v>
      </c>
      <c r="L16" s="21" t="n">
        <f aca="false">IF(Parámetros!$D$19=0,0,COUNTIFS(Sesiones!$A$4:$A$903,$A16,Sesiones!$B$4:$B$903,Parámetros!$B$19)/Parámetros!$D$19)</f>
        <v>0</v>
      </c>
      <c r="M16" s="21" t="n">
        <f aca="false">IF(Parámetros!$D$20=0,0,COUNTIFS(Sesiones!$A$4:$A$903,$A16,Sesiones!$B$4:$B$903,Parámetros!$B$20)/Parámetros!$D$20)</f>
        <v>0</v>
      </c>
      <c r="N16" s="21" t="n">
        <f aca="false">IF(Parámetros!$D$21=0,0,COUNTIFS(Sesiones!$A$4:$A$903,$A16,Sesiones!$B$4:$B$903,Parámetros!$B$21)/Parámetros!$D$21)</f>
        <v>0</v>
      </c>
      <c r="O16" s="21" t="n">
        <f aca="false">IF(Parámetros!$D$22=0,0,COUNTIFS(Sesiones!$A$4:$A$903,$A16,Sesiones!$B$4:$B$903,Parámetros!$B$22)/Parámetros!$D$22)</f>
        <v>0</v>
      </c>
      <c r="P16" s="21" t="n">
        <f aca="false">IF(Parámetros!$D$23=0,0,COUNTIFS(Sesiones!$A$4:$A$903,$A16,Sesiones!$B$4:$B$903,Parámetros!$B$23)/Parámetros!$D$23)</f>
        <v>0</v>
      </c>
      <c r="Q16" s="21" t="n">
        <f aca="false">IF(Parámetros!$D$24=0,0,COUNTIFS(Sesiones!$A$4:$A$903,$A16,Sesiones!$B$4:$B$903,Parámetros!$B$24)/Parámetros!$D$24)</f>
        <v>0</v>
      </c>
      <c r="R16" s="21" t="n">
        <f aca="false">IF(Parámetros!$D$25=0,0,COUNTIFS(Sesiones!$A$4:$A$903,$A16,Sesiones!$B$4:$B$903,Parámetros!$B$25)/Parámetros!$D$25)</f>
        <v>0</v>
      </c>
      <c r="S16" s="21" t="n">
        <f aca="false">IF(Parámetros!$D$26=0,0,COUNTIFS(Sesiones!$A$4:$A$903,$A16,Sesiones!$B$4:$B$903,Parámetros!$B$26)/Parámetros!$D$26)</f>
        <v>0</v>
      </c>
      <c r="T16" s="21" t="n">
        <f aca="false">IF(Parámetros!$D$27=0,0,COUNTIFS(Sesiones!$A$4:$A$903,$A16,Sesiones!$B$4:$B$903,Parámetros!$B$27)/Parámetros!$D$27)</f>
        <v>0</v>
      </c>
    </row>
    <row r="17" customFormat="false" ht="15" hidden="false" customHeight="false" outlineLevel="0" collapsed="false">
      <c r="A17" s="38" t="n">
        <f aca="false">DATE(Parámetros!$C$6,Parámetros!$C$7,14)</f>
        <v>46248</v>
      </c>
      <c r="B17" s="10" t="n">
        <f aca="false">SUMIFS('Caja Diaria'!$F$4:$F$403,'Caja Diaria'!$B$4:$B$403,"Ingreso",'Caja Diaria'!$A$4:$A$403,$A17)</f>
        <v>0</v>
      </c>
      <c r="C17" s="10" t="n">
        <f aca="false">SUMIFS('Caja Diaria'!$F$4:$F$403,'Caja Diaria'!$B$4:$B$403,"Egreso",'Caja Diaria'!$A$4:$A$403,$A17)</f>
        <v>0</v>
      </c>
      <c r="D17" s="39" t="n">
        <f aca="false">B17-C17</f>
        <v>0</v>
      </c>
      <c r="E17" s="39" t="n">
        <f aca="false">E16+D17</f>
        <v>5761500</v>
      </c>
      <c r="F17" s="39" t="n">
        <f aca="false">F16+SUMIFS('Caja Diaria'!$F$4:$F$403,'Caja Diaria'!$B$4:$B$403,"Ingreso",'Caja Diaria'!$E$4:$E$403,"Efectivo",'Caja Diaria'!$A$4:$A$403,$A17)-SUMIFS('Caja Diaria'!$F$4:$F$403,'Caja Diaria'!$B$4:$B$403,"Egreso",'Caja Diaria'!$E$4:$E$403,"Efectivo",'Caja Diaria'!$A$4:$A$403,$A17)</f>
        <v>468000</v>
      </c>
      <c r="G17" s="10" t="n">
        <f aca="false">B17/Parámetros!$C$8</f>
        <v>0</v>
      </c>
      <c r="H17" s="21" t="n">
        <f aca="false">IF(Parámetros!$D$15=0,0,COUNTIFS(Sesiones!$A$4:$A$903,$A17,Sesiones!$B$4:$B$903,Parámetros!$B$15)/Parámetros!$D$15)</f>
        <v>0</v>
      </c>
      <c r="I17" s="21" t="n">
        <f aca="false">IF(Parámetros!$D$16=0,0,COUNTIFS(Sesiones!$A$4:$A$903,$A17,Sesiones!$B$4:$B$903,Parámetros!$B$16)/Parámetros!$D$16)</f>
        <v>0</v>
      </c>
      <c r="J17" s="21" t="n">
        <f aca="false">IF(Parámetros!$D$17=0,0,COUNTIFS(Sesiones!$A$4:$A$903,$A17,Sesiones!$B$4:$B$903,Parámetros!$B$17)/Parámetros!$D$17)</f>
        <v>0</v>
      </c>
      <c r="K17" s="21" t="n">
        <f aca="false">IF(Parámetros!$D$18=0,0,COUNTIFS(Sesiones!$A$4:$A$903,$A17,Sesiones!$B$4:$B$903,Parámetros!$B$18)/Parámetros!$D$18)</f>
        <v>0</v>
      </c>
      <c r="L17" s="21" t="n">
        <f aca="false">IF(Parámetros!$D$19=0,0,COUNTIFS(Sesiones!$A$4:$A$903,$A17,Sesiones!$B$4:$B$903,Parámetros!$B$19)/Parámetros!$D$19)</f>
        <v>0</v>
      </c>
      <c r="M17" s="21" t="n">
        <f aca="false">IF(Parámetros!$D$20=0,0,COUNTIFS(Sesiones!$A$4:$A$903,$A17,Sesiones!$B$4:$B$903,Parámetros!$B$20)/Parámetros!$D$20)</f>
        <v>0</v>
      </c>
      <c r="N17" s="21" t="n">
        <f aca="false">IF(Parámetros!$D$21=0,0,COUNTIFS(Sesiones!$A$4:$A$903,$A17,Sesiones!$B$4:$B$903,Parámetros!$B$21)/Parámetros!$D$21)</f>
        <v>0</v>
      </c>
      <c r="O17" s="21" t="n">
        <f aca="false">IF(Parámetros!$D$22=0,0,COUNTIFS(Sesiones!$A$4:$A$903,$A17,Sesiones!$B$4:$B$903,Parámetros!$B$22)/Parámetros!$D$22)</f>
        <v>0</v>
      </c>
      <c r="P17" s="21" t="n">
        <f aca="false">IF(Parámetros!$D$23=0,0,COUNTIFS(Sesiones!$A$4:$A$903,$A17,Sesiones!$B$4:$B$903,Parámetros!$B$23)/Parámetros!$D$23)</f>
        <v>0</v>
      </c>
      <c r="Q17" s="21" t="n">
        <f aca="false">IF(Parámetros!$D$24=0,0,COUNTIFS(Sesiones!$A$4:$A$903,$A17,Sesiones!$B$4:$B$903,Parámetros!$B$24)/Parámetros!$D$24)</f>
        <v>0</v>
      </c>
      <c r="R17" s="21" t="n">
        <f aca="false">IF(Parámetros!$D$25=0,0,COUNTIFS(Sesiones!$A$4:$A$903,$A17,Sesiones!$B$4:$B$903,Parámetros!$B$25)/Parámetros!$D$25)</f>
        <v>0</v>
      </c>
      <c r="S17" s="21" t="n">
        <f aca="false">IF(Parámetros!$D$26=0,0,COUNTIFS(Sesiones!$A$4:$A$903,$A17,Sesiones!$B$4:$B$903,Parámetros!$B$26)/Parámetros!$D$26)</f>
        <v>0</v>
      </c>
      <c r="T17" s="21" t="n">
        <f aca="false">IF(Parámetros!$D$27=0,0,COUNTIFS(Sesiones!$A$4:$A$903,$A17,Sesiones!$B$4:$B$903,Parámetros!$B$27)/Parámetros!$D$27)</f>
        <v>0</v>
      </c>
    </row>
    <row r="18" customFormat="false" ht="15" hidden="false" customHeight="false" outlineLevel="0" collapsed="false">
      <c r="A18" s="38" t="n">
        <f aca="false">DATE(Parámetros!$C$6,Parámetros!$C$7,15)</f>
        <v>46249</v>
      </c>
      <c r="B18" s="10" t="n">
        <f aca="false">SUMIFS('Caja Diaria'!$F$4:$F$403,'Caja Diaria'!$B$4:$B$403,"Ingreso",'Caja Diaria'!$A$4:$A$403,$A18)</f>
        <v>0</v>
      </c>
      <c r="C18" s="10" t="n">
        <f aca="false">SUMIFS('Caja Diaria'!$F$4:$F$403,'Caja Diaria'!$B$4:$B$403,"Egreso",'Caja Diaria'!$A$4:$A$403,$A18)</f>
        <v>0</v>
      </c>
      <c r="D18" s="39" t="n">
        <f aca="false">B18-C18</f>
        <v>0</v>
      </c>
      <c r="E18" s="39" t="n">
        <f aca="false">E17+D18</f>
        <v>5761500</v>
      </c>
      <c r="F18" s="39" t="n">
        <f aca="false">F17+SUMIFS('Caja Diaria'!$F$4:$F$403,'Caja Diaria'!$B$4:$B$403,"Ingreso",'Caja Diaria'!$E$4:$E$403,"Efectivo",'Caja Diaria'!$A$4:$A$403,$A18)-SUMIFS('Caja Diaria'!$F$4:$F$403,'Caja Diaria'!$B$4:$B$403,"Egreso",'Caja Diaria'!$E$4:$E$403,"Efectivo",'Caja Diaria'!$A$4:$A$403,$A18)</f>
        <v>468000</v>
      </c>
      <c r="G18" s="10" t="n">
        <f aca="false">B18/Parámetros!$C$8</f>
        <v>0</v>
      </c>
      <c r="H18" s="21" t="n">
        <f aca="false">IF(Parámetros!$D$15=0,0,COUNTIFS(Sesiones!$A$4:$A$903,$A18,Sesiones!$B$4:$B$903,Parámetros!$B$15)/Parámetros!$D$15)</f>
        <v>0</v>
      </c>
      <c r="I18" s="21" t="n">
        <f aca="false">IF(Parámetros!$D$16=0,0,COUNTIFS(Sesiones!$A$4:$A$903,$A18,Sesiones!$B$4:$B$903,Parámetros!$B$16)/Parámetros!$D$16)</f>
        <v>0</v>
      </c>
      <c r="J18" s="21" t="n">
        <f aca="false">IF(Parámetros!$D$17=0,0,COUNTIFS(Sesiones!$A$4:$A$903,$A18,Sesiones!$B$4:$B$903,Parámetros!$B$17)/Parámetros!$D$17)</f>
        <v>0</v>
      </c>
      <c r="K18" s="21" t="n">
        <f aca="false">IF(Parámetros!$D$18=0,0,COUNTIFS(Sesiones!$A$4:$A$903,$A18,Sesiones!$B$4:$B$903,Parámetros!$B$18)/Parámetros!$D$18)</f>
        <v>0</v>
      </c>
      <c r="L18" s="21" t="n">
        <f aca="false">IF(Parámetros!$D$19=0,0,COUNTIFS(Sesiones!$A$4:$A$903,$A18,Sesiones!$B$4:$B$903,Parámetros!$B$19)/Parámetros!$D$19)</f>
        <v>0</v>
      </c>
      <c r="M18" s="21" t="n">
        <f aca="false">IF(Parámetros!$D$20=0,0,COUNTIFS(Sesiones!$A$4:$A$903,$A18,Sesiones!$B$4:$B$903,Parámetros!$B$20)/Parámetros!$D$20)</f>
        <v>0</v>
      </c>
      <c r="N18" s="21" t="n">
        <f aca="false">IF(Parámetros!$D$21=0,0,COUNTIFS(Sesiones!$A$4:$A$903,$A18,Sesiones!$B$4:$B$903,Parámetros!$B$21)/Parámetros!$D$21)</f>
        <v>0</v>
      </c>
      <c r="O18" s="21" t="n">
        <f aca="false">IF(Parámetros!$D$22=0,0,COUNTIFS(Sesiones!$A$4:$A$903,$A18,Sesiones!$B$4:$B$903,Parámetros!$B$22)/Parámetros!$D$22)</f>
        <v>0</v>
      </c>
      <c r="P18" s="21" t="n">
        <f aca="false">IF(Parámetros!$D$23=0,0,COUNTIFS(Sesiones!$A$4:$A$903,$A18,Sesiones!$B$4:$B$903,Parámetros!$B$23)/Parámetros!$D$23)</f>
        <v>0</v>
      </c>
      <c r="Q18" s="21" t="n">
        <f aca="false">IF(Parámetros!$D$24=0,0,COUNTIFS(Sesiones!$A$4:$A$903,$A18,Sesiones!$B$4:$B$903,Parámetros!$B$24)/Parámetros!$D$24)</f>
        <v>0</v>
      </c>
      <c r="R18" s="21" t="n">
        <f aca="false">IF(Parámetros!$D$25=0,0,COUNTIFS(Sesiones!$A$4:$A$903,$A18,Sesiones!$B$4:$B$903,Parámetros!$B$25)/Parámetros!$D$25)</f>
        <v>0</v>
      </c>
      <c r="S18" s="21" t="n">
        <f aca="false">IF(Parámetros!$D$26=0,0,COUNTIFS(Sesiones!$A$4:$A$903,$A18,Sesiones!$B$4:$B$903,Parámetros!$B$26)/Parámetros!$D$26)</f>
        <v>0</v>
      </c>
      <c r="T18" s="21" t="n">
        <f aca="false">IF(Parámetros!$D$27=0,0,COUNTIFS(Sesiones!$A$4:$A$903,$A18,Sesiones!$B$4:$B$903,Parámetros!$B$27)/Parámetros!$D$27)</f>
        <v>0</v>
      </c>
    </row>
    <row r="19" customFormat="false" ht="15" hidden="false" customHeight="false" outlineLevel="0" collapsed="false">
      <c r="A19" s="38" t="n">
        <f aca="false">DATE(Parámetros!$C$6,Parámetros!$C$7,16)</f>
        <v>46250</v>
      </c>
      <c r="B19" s="10" t="n">
        <f aca="false">SUMIFS('Caja Diaria'!$F$4:$F$403,'Caja Diaria'!$B$4:$B$403,"Ingreso",'Caja Diaria'!$A$4:$A$403,$A19)</f>
        <v>0</v>
      </c>
      <c r="C19" s="10" t="n">
        <f aca="false">SUMIFS('Caja Diaria'!$F$4:$F$403,'Caja Diaria'!$B$4:$B$403,"Egreso",'Caja Diaria'!$A$4:$A$403,$A19)</f>
        <v>0</v>
      </c>
      <c r="D19" s="39" t="n">
        <f aca="false">B19-C19</f>
        <v>0</v>
      </c>
      <c r="E19" s="39" t="n">
        <f aca="false">E18+D19</f>
        <v>5761500</v>
      </c>
      <c r="F19" s="39" t="n">
        <f aca="false">F18+SUMIFS('Caja Diaria'!$F$4:$F$403,'Caja Diaria'!$B$4:$B$403,"Ingreso",'Caja Diaria'!$E$4:$E$403,"Efectivo",'Caja Diaria'!$A$4:$A$403,$A19)-SUMIFS('Caja Diaria'!$F$4:$F$403,'Caja Diaria'!$B$4:$B$403,"Egreso",'Caja Diaria'!$E$4:$E$403,"Efectivo",'Caja Diaria'!$A$4:$A$403,$A19)</f>
        <v>468000</v>
      </c>
      <c r="G19" s="10" t="n">
        <f aca="false">B19/Parámetros!$C$8</f>
        <v>0</v>
      </c>
      <c r="H19" s="21" t="n">
        <f aca="false">IF(Parámetros!$D$15=0,0,COUNTIFS(Sesiones!$A$4:$A$903,$A19,Sesiones!$B$4:$B$903,Parámetros!$B$15)/Parámetros!$D$15)</f>
        <v>0</v>
      </c>
      <c r="I19" s="21" t="n">
        <f aca="false">IF(Parámetros!$D$16=0,0,COUNTIFS(Sesiones!$A$4:$A$903,$A19,Sesiones!$B$4:$B$903,Parámetros!$B$16)/Parámetros!$D$16)</f>
        <v>0</v>
      </c>
      <c r="J19" s="21" t="n">
        <f aca="false">IF(Parámetros!$D$17=0,0,COUNTIFS(Sesiones!$A$4:$A$903,$A19,Sesiones!$B$4:$B$903,Parámetros!$B$17)/Parámetros!$D$17)</f>
        <v>0</v>
      </c>
      <c r="K19" s="21" t="n">
        <f aca="false">IF(Parámetros!$D$18=0,0,COUNTIFS(Sesiones!$A$4:$A$903,$A19,Sesiones!$B$4:$B$903,Parámetros!$B$18)/Parámetros!$D$18)</f>
        <v>0</v>
      </c>
      <c r="L19" s="21" t="n">
        <f aca="false">IF(Parámetros!$D$19=0,0,COUNTIFS(Sesiones!$A$4:$A$903,$A19,Sesiones!$B$4:$B$903,Parámetros!$B$19)/Parámetros!$D$19)</f>
        <v>0</v>
      </c>
      <c r="M19" s="21" t="n">
        <f aca="false">IF(Parámetros!$D$20=0,0,COUNTIFS(Sesiones!$A$4:$A$903,$A19,Sesiones!$B$4:$B$903,Parámetros!$B$20)/Parámetros!$D$20)</f>
        <v>0</v>
      </c>
      <c r="N19" s="21" t="n">
        <f aca="false">IF(Parámetros!$D$21=0,0,COUNTIFS(Sesiones!$A$4:$A$903,$A19,Sesiones!$B$4:$B$903,Parámetros!$B$21)/Parámetros!$D$21)</f>
        <v>0</v>
      </c>
      <c r="O19" s="21" t="n">
        <f aca="false">IF(Parámetros!$D$22=0,0,COUNTIFS(Sesiones!$A$4:$A$903,$A19,Sesiones!$B$4:$B$903,Parámetros!$B$22)/Parámetros!$D$22)</f>
        <v>0</v>
      </c>
      <c r="P19" s="21" t="n">
        <f aca="false">IF(Parámetros!$D$23=0,0,COUNTIFS(Sesiones!$A$4:$A$903,$A19,Sesiones!$B$4:$B$903,Parámetros!$B$23)/Parámetros!$D$23)</f>
        <v>0</v>
      </c>
      <c r="Q19" s="21" t="n">
        <f aca="false">IF(Parámetros!$D$24=0,0,COUNTIFS(Sesiones!$A$4:$A$903,$A19,Sesiones!$B$4:$B$903,Parámetros!$B$24)/Parámetros!$D$24)</f>
        <v>0</v>
      </c>
      <c r="R19" s="21" t="n">
        <f aca="false">IF(Parámetros!$D$25=0,0,COUNTIFS(Sesiones!$A$4:$A$903,$A19,Sesiones!$B$4:$B$903,Parámetros!$B$25)/Parámetros!$D$25)</f>
        <v>0</v>
      </c>
      <c r="S19" s="21" t="n">
        <f aca="false">IF(Parámetros!$D$26=0,0,COUNTIFS(Sesiones!$A$4:$A$903,$A19,Sesiones!$B$4:$B$903,Parámetros!$B$26)/Parámetros!$D$26)</f>
        <v>0</v>
      </c>
      <c r="T19" s="21" t="n">
        <f aca="false">IF(Parámetros!$D$27=0,0,COUNTIFS(Sesiones!$A$4:$A$903,$A19,Sesiones!$B$4:$B$903,Parámetros!$B$27)/Parámetros!$D$27)</f>
        <v>0</v>
      </c>
    </row>
    <row r="20" customFormat="false" ht="15" hidden="false" customHeight="false" outlineLevel="0" collapsed="false">
      <c r="A20" s="38" t="n">
        <f aca="false">DATE(Parámetros!$C$6,Parámetros!$C$7,17)</f>
        <v>46251</v>
      </c>
      <c r="B20" s="10" t="n">
        <f aca="false">SUMIFS('Caja Diaria'!$F$4:$F$403,'Caja Diaria'!$B$4:$B$403,"Ingreso",'Caja Diaria'!$A$4:$A$403,$A20)</f>
        <v>0</v>
      </c>
      <c r="C20" s="10" t="n">
        <f aca="false">SUMIFS('Caja Diaria'!$F$4:$F$403,'Caja Diaria'!$B$4:$B$403,"Egreso",'Caja Diaria'!$A$4:$A$403,$A20)</f>
        <v>0</v>
      </c>
      <c r="D20" s="39" t="n">
        <f aca="false">B20-C20</f>
        <v>0</v>
      </c>
      <c r="E20" s="39" t="n">
        <f aca="false">E19+D20</f>
        <v>5761500</v>
      </c>
      <c r="F20" s="39" t="n">
        <f aca="false">F19+SUMIFS('Caja Diaria'!$F$4:$F$403,'Caja Diaria'!$B$4:$B$403,"Ingreso",'Caja Diaria'!$E$4:$E$403,"Efectivo",'Caja Diaria'!$A$4:$A$403,$A20)-SUMIFS('Caja Diaria'!$F$4:$F$403,'Caja Diaria'!$B$4:$B$403,"Egreso",'Caja Diaria'!$E$4:$E$403,"Efectivo",'Caja Diaria'!$A$4:$A$403,$A20)</f>
        <v>468000</v>
      </c>
      <c r="G20" s="10" t="n">
        <f aca="false">B20/Parámetros!$C$8</f>
        <v>0</v>
      </c>
      <c r="H20" s="21" t="n">
        <f aca="false">IF(Parámetros!$D$15=0,0,COUNTIFS(Sesiones!$A$4:$A$903,$A20,Sesiones!$B$4:$B$903,Parámetros!$B$15)/Parámetros!$D$15)</f>
        <v>0</v>
      </c>
      <c r="I20" s="21" t="n">
        <f aca="false">IF(Parámetros!$D$16=0,0,COUNTIFS(Sesiones!$A$4:$A$903,$A20,Sesiones!$B$4:$B$903,Parámetros!$B$16)/Parámetros!$D$16)</f>
        <v>0</v>
      </c>
      <c r="J20" s="21" t="n">
        <f aca="false">IF(Parámetros!$D$17=0,0,COUNTIFS(Sesiones!$A$4:$A$903,$A20,Sesiones!$B$4:$B$903,Parámetros!$B$17)/Parámetros!$D$17)</f>
        <v>0</v>
      </c>
      <c r="K20" s="21" t="n">
        <f aca="false">IF(Parámetros!$D$18=0,0,COUNTIFS(Sesiones!$A$4:$A$903,$A20,Sesiones!$B$4:$B$903,Parámetros!$B$18)/Parámetros!$D$18)</f>
        <v>0</v>
      </c>
      <c r="L20" s="21" t="n">
        <f aca="false">IF(Parámetros!$D$19=0,0,COUNTIFS(Sesiones!$A$4:$A$903,$A20,Sesiones!$B$4:$B$903,Parámetros!$B$19)/Parámetros!$D$19)</f>
        <v>0</v>
      </c>
      <c r="M20" s="21" t="n">
        <f aca="false">IF(Parámetros!$D$20=0,0,COUNTIFS(Sesiones!$A$4:$A$903,$A20,Sesiones!$B$4:$B$903,Parámetros!$B$20)/Parámetros!$D$20)</f>
        <v>0</v>
      </c>
      <c r="N20" s="21" t="n">
        <f aca="false">IF(Parámetros!$D$21=0,0,COUNTIFS(Sesiones!$A$4:$A$903,$A20,Sesiones!$B$4:$B$903,Parámetros!$B$21)/Parámetros!$D$21)</f>
        <v>0</v>
      </c>
      <c r="O20" s="21" t="n">
        <f aca="false">IF(Parámetros!$D$22=0,0,COUNTIFS(Sesiones!$A$4:$A$903,$A20,Sesiones!$B$4:$B$903,Parámetros!$B$22)/Parámetros!$D$22)</f>
        <v>0</v>
      </c>
      <c r="P20" s="21" t="n">
        <f aca="false">IF(Parámetros!$D$23=0,0,COUNTIFS(Sesiones!$A$4:$A$903,$A20,Sesiones!$B$4:$B$903,Parámetros!$B$23)/Parámetros!$D$23)</f>
        <v>0</v>
      </c>
      <c r="Q20" s="21" t="n">
        <f aca="false">IF(Parámetros!$D$24=0,0,COUNTIFS(Sesiones!$A$4:$A$903,$A20,Sesiones!$B$4:$B$903,Parámetros!$B$24)/Parámetros!$D$24)</f>
        <v>0</v>
      </c>
      <c r="R20" s="21" t="n">
        <f aca="false">IF(Parámetros!$D$25=0,0,COUNTIFS(Sesiones!$A$4:$A$903,$A20,Sesiones!$B$4:$B$903,Parámetros!$B$25)/Parámetros!$D$25)</f>
        <v>0</v>
      </c>
      <c r="S20" s="21" t="n">
        <f aca="false">IF(Parámetros!$D$26=0,0,COUNTIFS(Sesiones!$A$4:$A$903,$A20,Sesiones!$B$4:$B$903,Parámetros!$B$26)/Parámetros!$D$26)</f>
        <v>0</v>
      </c>
      <c r="T20" s="21" t="n">
        <f aca="false">IF(Parámetros!$D$27=0,0,COUNTIFS(Sesiones!$A$4:$A$903,$A20,Sesiones!$B$4:$B$903,Parámetros!$B$27)/Parámetros!$D$27)</f>
        <v>0</v>
      </c>
    </row>
    <row r="21" customFormat="false" ht="15" hidden="false" customHeight="false" outlineLevel="0" collapsed="false">
      <c r="A21" s="38" t="n">
        <f aca="false">DATE(Parámetros!$C$6,Parámetros!$C$7,18)</f>
        <v>46252</v>
      </c>
      <c r="B21" s="10" t="n">
        <f aca="false">SUMIFS('Caja Diaria'!$F$4:$F$403,'Caja Diaria'!$B$4:$B$403,"Ingreso",'Caja Diaria'!$A$4:$A$403,$A21)</f>
        <v>0</v>
      </c>
      <c r="C21" s="10" t="n">
        <f aca="false">SUMIFS('Caja Diaria'!$F$4:$F$403,'Caja Diaria'!$B$4:$B$403,"Egreso",'Caja Diaria'!$A$4:$A$403,$A21)</f>
        <v>0</v>
      </c>
      <c r="D21" s="39" t="n">
        <f aca="false">B21-C21</f>
        <v>0</v>
      </c>
      <c r="E21" s="39" t="n">
        <f aca="false">E20+D21</f>
        <v>5761500</v>
      </c>
      <c r="F21" s="39" t="n">
        <f aca="false">F20+SUMIFS('Caja Diaria'!$F$4:$F$403,'Caja Diaria'!$B$4:$B$403,"Ingreso",'Caja Diaria'!$E$4:$E$403,"Efectivo",'Caja Diaria'!$A$4:$A$403,$A21)-SUMIFS('Caja Diaria'!$F$4:$F$403,'Caja Diaria'!$B$4:$B$403,"Egreso",'Caja Diaria'!$E$4:$E$403,"Efectivo",'Caja Diaria'!$A$4:$A$403,$A21)</f>
        <v>468000</v>
      </c>
      <c r="G21" s="10" t="n">
        <f aca="false">B21/Parámetros!$C$8</f>
        <v>0</v>
      </c>
      <c r="H21" s="21" t="n">
        <f aca="false">IF(Parámetros!$D$15=0,0,COUNTIFS(Sesiones!$A$4:$A$903,$A21,Sesiones!$B$4:$B$903,Parámetros!$B$15)/Parámetros!$D$15)</f>
        <v>0</v>
      </c>
      <c r="I21" s="21" t="n">
        <f aca="false">IF(Parámetros!$D$16=0,0,COUNTIFS(Sesiones!$A$4:$A$903,$A21,Sesiones!$B$4:$B$903,Parámetros!$B$16)/Parámetros!$D$16)</f>
        <v>0</v>
      </c>
      <c r="J21" s="21" t="n">
        <f aca="false">IF(Parámetros!$D$17=0,0,COUNTIFS(Sesiones!$A$4:$A$903,$A21,Sesiones!$B$4:$B$903,Parámetros!$B$17)/Parámetros!$D$17)</f>
        <v>0</v>
      </c>
      <c r="K21" s="21" t="n">
        <f aca="false">IF(Parámetros!$D$18=0,0,COUNTIFS(Sesiones!$A$4:$A$903,$A21,Sesiones!$B$4:$B$903,Parámetros!$B$18)/Parámetros!$D$18)</f>
        <v>0</v>
      </c>
      <c r="L21" s="21" t="n">
        <f aca="false">IF(Parámetros!$D$19=0,0,COUNTIFS(Sesiones!$A$4:$A$903,$A21,Sesiones!$B$4:$B$903,Parámetros!$B$19)/Parámetros!$D$19)</f>
        <v>0</v>
      </c>
      <c r="M21" s="21" t="n">
        <f aca="false">IF(Parámetros!$D$20=0,0,COUNTIFS(Sesiones!$A$4:$A$903,$A21,Sesiones!$B$4:$B$903,Parámetros!$B$20)/Parámetros!$D$20)</f>
        <v>0</v>
      </c>
      <c r="N21" s="21" t="n">
        <f aca="false">IF(Parámetros!$D$21=0,0,COUNTIFS(Sesiones!$A$4:$A$903,$A21,Sesiones!$B$4:$B$903,Parámetros!$B$21)/Parámetros!$D$21)</f>
        <v>0</v>
      </c>
      <c r="O21" s="21" t="n">
        <f aca="false">IF(Parámetros!$D$22=0,0,COUNTIFS(Sesiones!$A$4:$A$903,$A21,Sesiones!$B$4:$B$903,Parámetros!$B$22)/Parámetros!$D$22)</f>
        <v>0</v>
      </c>
      <c r="P21" s="21" t="n">
        <f aca="false">IF(Parámetros!$D$23=0,0,COUNTIFS(Sesiones!$A$4:$A$903,$A21,Sesiones!$B$4:$B$903,Parámetros!$B$23)/Parámetros!$D$23)</f>
        <v>0</v>
      </c>
      <c r="Q21" s="21" t="n">
        <f aca="false">IF(Parámetros!$D$24=0,0,COUNTIFS(Sesiones!$A$4:$A$903,$A21,Sesiones!$B$4:$B$903,Parámetros!$B$24)/Parámetros!$D$24)</f>
        <v>0</v>
      </c>
      <c r="R21" s="21" t="n">
        <f aca="false">IF(Parámetros!$D$25=0,0,COUNTIFS(Sesiones!$A$4:$A$903,$A21,Sesiones!$B$4:$B$903,Parámetros!$B$25)/Parámetros!$D$25)</f>
        <v>0</v>
      </c>
      <c r="S21" s="21" t="n">
        <f aca="false">IF(Parámetros!$D$26=0,0,COUNTIFS(Sesiones!$A$4:$A$903,$A21,Sesiones!$B$4:$B$903,Parámetros!$B$26)/Parámetros!$D$26)</f>
        <v>0</v>
      </c>
      <c r="T21" s="21" t="n">
        <f aca="false">IF(Parámetros!$D$27=0,0,COUNTIFS(Sesiones!$A$4:$A$903,$A21,Sesiones!$B$4:$B$903,Parámetros!$B$27)/Parámetros!$D$27)</f>
        <v>0</v>
      </c>
    </row>
    <row r="22" customFormat="false" ht="15" hidden="false" customHeight="false" outlineLevel="0" collapsed="false">
      <c r="A22" s="38" t="n">
        <f aca="false">DATE(Parámetros!$C$6,Parámetros!$C$7,19)</f>
        <v>46253</v>
      </c>
      <c r="B22" s="10" t="n">
        <f aca="false">SUMIFS('Caja Diaria'!$F$4:$F$403,'Caja Diaria'!$B$4:$B$403,"Ingreso",'Caja Diaria'!$A$4:$A$403,$A22)</f>
        <v>0</v>
      </c>
      <c r="C22" s="10" t="n">
        <f aca="false">SUMIFS('Caja Diaria'!$F$4:$F$403,'Caja Diaria'!$B$4:$B$403,"Egreso",'Caja Diaria'!$A$4:$A$403,$A22)</f>
        <v>0</v>
      </c>
      <c r="D22" s="39" t="n">
        <f aca="false">B22-C22</f>
        <v>0</v>
      </c>
      <c r="E22" s="39" t="n">
        <f aca="false">E21+D22</f>
        <v>5761500</v>
      </c>
      <c r="F22" s="39" t="n">
        <f aca="false">F21+SUMIFS('Caja Diaria'!$F$4:$F$403,'Caja Diaria'!$B$4:$B$403,"Ingreso",'Caja Diaria'!$E$4:$E$403,"Efectivo",'Caja Diaria'!$A$4:$A$403,$A22)-SUMIFS('Caja Diaria'!$F$4:$F$403,'Caja Diaria'!$B$4:$B$403,"Egreso",'Caja Diaria'!$E$4:$E$403,"Efectivo",'Caja Diaria'!$A$4:$A$403,$A22)</f>
        <v>468000</v>
      </c>
      <c r="G22" s="10" t="n">
        <f aca="false">B22/Parámetros!$C$8</f>
        <v>0</v>
      </c>
      <c r="H22" s="21" t="n">
        <f aca="false">IF(Parámetros!$D$15=0,0,COUNTIFS(Sesiones!$A$4:$A$903,$A22,Sesiones!$B$4:$B$903,Parámetros!$B$15)/Parámetros!$D$15)</f>
        <v>0</v>
      </c>
      <c r="I22" s="21" t="n">
        <f aca="false">IF(Parámetros!$D$16=0,0,COUNTIFS(Sesiones!$A$4:$A$903,$A22,Sesiones!$B$4:$B$903,Parámetros!$B$16)/Parámetros!$D$16)</f>
        <v>0</v>
      </c>
      <c r="J22" s="21" t="n">
        <f aca="false">IF(Parámetros!$D$17=0,0,COUNTIFS(Sesiones!$A$4:$A$903,$A22,Sesiones!$B$4:$B$903,Parámetros!$B$17)/Parámetros!$D$17)</f>
        <v>0</v>
      </c>
      <c r="K22" s="21" t="n">
        <f aca="false">IF(Parámetros!$D$18=0,0,COUNTIFS(Sesiones!$A$4:$A$903,$A22,Sesiones!$B$4:$B$903,Parámetros!$B$18)/Parámetros!$D$18)</f>
        <v>0</v>
      </c>
      <c r="L22" s="21" t="n">
        <f aca="false">IF(Parámetros!$D$19=0,0,COUNTIFS(Sesiones!$A$4:$A$903,$A22,Sesiones!$B$4:$B$903,Parámetros!$B$19)/Parámetros!$D$19)</f>
        <v>0</v>
      </c>
      <c r="M22" s="21" t="n">
        <f aca="false">IF(Parámetros!$D$20=0,0,COUNTIFS(Sesiones!$A$4:$A$903,$A22,Sesiones!$B$4:$B$903,Parámetros!$B$20)/Parámetros!$D$20)</f>
        <v>0</v>
      </c>
      <c r="N22" s="21" t="n">
        <f aca="false">IF(Parámetros!$D$21=0,0,COUNTIFS(Sesiones!$A$4:$A$903,$A22,Sesiones!$B$4:$B$903,Parámetros!$B$21)/Parámetros!$D$21)</f>
        <v>0</v>
      </c>
      <c r="O22" s="21" t="n">
        <f aca="false">IF(Parámetros!$D$22=0,0,COUNTIFS(Sesiones!$A$4:$A$903,$A22,Sesiones!$B$4:$B$903,Parámetros!$B$22)/Parámetros!$D$22)</f>
        <v>0</v>
      </c>
      <c r="P22" s="21" t="n">
        <f aca="false">IF(Parámetros!$D$23=0,0,COUNTIFS(Sesiones!$A$4:$A$903,$A22,Sesiones!$B$4:$B$903,Parámetros!$B$23)/Parámetros!$D$23)</f>
        <v>0</v>
      </c>
      <c r="Q22" s="21" t="n">
        <f aca="false">IF(Parámetros!$D$24=0,0,COUNTIFS(Sesiones!$A$4:$A$903,$A22,Sesiones!$B$4:$B$903,Parámetros!$B$24)/Parámetros!$D$24)</f>
        <v>0</v>
      </c>
      <c r="R22" s="21" t="n">
        <f aca="false">IF(Parámetros!$D$25=0,0,COUNTIFS(Sesiones!$A$4:$A$903,$A22,Sesiones!$B$4:$B$903,Parámetros!$B$25)/Parámetros!$D$25)</f>
        <v>0</v>
      </c>
      <c r="S22" s="21" t="n">
        <f aca="false">IF(Parámetros!$D$26=0,0,COUNTIFS(Sesiones!$A$4:$A$903,$A22,Sesiones!$B$4:$B$903,Parámetros!$B$26)/Parámetros!$D$26)</f>
        <v>0</v>
      </c>
      <c r="T22" s="21" t="n">
        <f aca="false">IF(Parámetros!$D$27=0,0,COUNTIFS(Sesiones!$A$4:$A$903,$A22,Sesiones!$B$4:$B$903,Parámetros!$B$27)/Parámetros!$D$27)</f>
        <v>0</v>
      </c>
    </row>
    <row r="23" customFormat="false" ht="15" hidden="false" customHeight="false" outlineLevel="0" collapsed="false">
      <c r="A23" s="38" t="n">
        <f aca="false">DATE(Parámetros!$C$6,Parámetros!$C$7,20)</f>
        <v>46254</v>
      </c>
      <c r="B23" s="10" t="n">
        <f aca="false">SUMIFS('Caja Diaria'!$F$4:$F$403,'Caja Diaria'!$B$4:$B$403,"Ingreso",'Caja Diaria'!$A$4:$A$403,$A23)</f>
        <v>0</v>
      </c>
      <c r="C23" s="10" t="n">
        <f aca="false">SUMIFS('Caja Diaria'!$F$4:$F$403,'Caja Diaria'!$B$4:$B$403,"Egreso",'Caja Diaria'!$A$4:$A$403,$A23)</f>
        <v>0</v>
      </c>
      <c r="D23" s="39" t="n">
        <f aca="false">B23-C23</f>
        <v>0</v>
      </c>
      <c r="E23" s="39" t="n">
        <f aca="false">E22+D23</f>
        <v>5761500</v>
      </c>
      <c r="F23" s="39" t="n">
        <f aca="false">F22+SUMIFS('Caja Diaria'!$F$4:$F$403,'Caja Diaria'!$B$4:$B$403,"Ingreso",'Caja Diaria'!$E$4:$E$403,"Efectivo",'Caja Diaria'!$A$4:$A$403,$A23)-SUMIFS('Caja Diaria'!$F$4:$F$403,'Caja Diaria'!$B$4:$B$403,"Egreso",'Caja Diaria'!$E$4:$E$403,"Efectivo",'Caja Diaria'!$A$4:$A$403,$A23)</f>
        <v>468000</v>
      </c>
      <c r="G23" s="10" t="n">
        <f aca="false">B23/Parámetros!$C$8</f>
        <v>0</v>
      </c>
      <c r="H23" s="21" t="n">
        <f aca="false">IF(Parámetros!$D$15=0,0,COUNTIFS(Sesiones!$A$4:$A$903,$A23,Sesiones!$B$4:$B$903,Parámetros!$B$15)/Parámetros!$D$15)</f>
        <v>0</v>
      </c>
      <c r="I23" s="21" t="n">
        <f aca="false">IF(Parámetros!$D$16=0,0,COUNTIFS(Sesiones!$A$4:$A$903,$A23,Sesiones!$B$4:$B$903,Parámetros!$B$16)/Parámetros!$D$16)</f>
        <v>0</v>
      </c>
      <c r="J23" s="21" t="n">
        <f aca="false">IF(Parámetros!$D$17=0,0,COUNTIFS(Sesiones!$A$4:$A$903,$A23,Sesiones!$B$4:$B$903,Parámetros!$B$17)/Parámetros!$D$17)</f>
        <v>0</v>
      </c>
      <c r="K23" s="21" t="n">
        <f aca="false">IF(Parámetros!$D$18=0,0,COUNTIFS(Sesiones!$A$4:$A$903,$A23,Sesiones!$B$4:$B$903,Parámetros!$B$18)/Parámetros!$D$18)</f>
        <v>0</v>
      </c>
      <c r="L23" s="21" t="n">
        <f aca="false">IF(Parámetros!$D$19=0,0,COUNTIFS(Sesiones!$A$4:$A$903,$A23,Sesiones!$B$4:$B$903,Parámetros!$B$19)/Parámetros!$D$19)</f>
        <v>0</v>
      </c>
      <c r="M23" s="21" t="n">
        <f aca="false">IF(Parámetros!$D$20=0,0,COUNTIFS(Sesiones!$A$4:$A$903,$A23,Sesiones!$B$4:$B$903,Parámetros!$B$20)/Parámetros!$D$20)</f>
        <v>0</v>
      </c>
      <c r="N23" s="21" t="n">
        <f aca="false">IF(Parámetros!$D$21=0,0,COUNTIFS(Sesiones!$A$4:$A$903,$A23,Sesiones!$B$4:$B$903,Parámetros!$B$21)/Parámetros!$D$21)</f>
        <v>0</v>
      </c>
      <c r="O23" s="21" t="n">
        <f aca="false">IF(Parámetros!$D$22=0,0,COUNTIFS(Sesiones!$A$4:$A$903,$A23,Sesiones!$B$4:$B$903,Parámetros!$B$22)/Parámetros!$D$22)</f>
        <v>0</v>
      </c>
      <c r="P23" s="21" t="n">
        <f aca="false">IF(Parámetros!$D$23=0,0,COUNTIFS(Sesiones!$A$4:$A$903,$A23,Sesiones!$B$4:$B$903,Parámetros!$B$23)/Parámetros!$D$23)</f>
        <v>0</v>
      </c>
      <c r="Q23" s="21" t="n">
        <f aca="false">IF(Parámetros!$D$24=0,0,COUNTIFS(Sesiones!$A$4:$A$903,$A23,Sesiones!$B$4:$B$903,Parámetros!$B$24)/Parámetros!$D$24)</f>
        <v>0</v>
      </c>
      <c r="R23" s="21" t="n">
        <f aca="false">IF(Parámetros!$D$25=0,0,COUNTIFS(Sesiones!$A$4:$A$903,$A23,Sesiones!$B$4:$B$903,Parámetros!$B$25)/Parámetros!$D$25)</f>
        <v>0</v>
      </c>
      <c r="S23" s="21" t="n">
        <f aca="false">IF(Parámetros!$D$26=0,0,COUNTIFS(Sesiones!$A$4:$A$903,$A23,Sesiones!$B$4:$B$903,Parámetros!$B$26)/Parámetros!$D$26)</f>
        <v>0</v>
      </c>
      <c r="T23" s="21" t="n">
        <f aca="false">IF(Parámetros!$D$27=0,0,COUNTIFS(Sesiones!$A$4:$A$903,$A23,Sesiones!$B$4:$B$903,Parámetros!$B$27)/Parámetros!$D$27)</f>
        <v>0</v>
      </c>
    </row>
    <row r="24" customFormat="false" ht="15" hidden="false" customHeight="false" outlineLevel="0" collapsed="false">
      <c r="A24" s="38" t="n">
        <f aca="false">DATE(Parámetros!$C$6,Parámetros!$C$7,21)</f>
        <v>46255</v>
      </c>
      <c r="B24" s="10" t="n">
        <f aca="false">SUMIFS('Caja Diaria'!$F$4:$F$403,'Caja Diaria'!$B$4:$B$403,"Ingreso",'Caja Diaria'!$A$4:$A$403,$A24)</f>
        <v>0</v>
      </c>
      <c r="C24" s="10" t="n">
        <f aca="false">SUMIFS('Caja Diaria'!$F$4:$F$403,'Caja Diaria'!$B$4:$B$403,"Egreso",'Caja Diaria'!$A$4:$A$403,$A24)</f>
        <v>0</v>
      </c>
      <c r="D24" s="39" t="n">
        <f aca="false">B24-C24</f>
        <v>0</v>
      </c>
      <c r="E24" s="39" t="n">
        <f aca="false">E23+D24</f>
        <v>5761500</v>
      </c>
      <c r="F24" s="39" t="n">
        <f aca="false">F23+SUMIFS('Caja Diaria'!$F$4:$F$403,'Caja Diaria'!$B$4:$B$403,"Ingreso",'Caja Diaria'!$E$4:$E$403,"Efectivo",'Caja Diaria'!$A$4:$A$403,$A24)-SUMIFS('Caja Diaria'!$F$4:$F$403,'Caja Diaria'!$B$4:$B$403,"Egreso",'Caja Diaria'!$E$4:$E$403,"Efectivo",'Caja Diaria'!$A$4:$A$403,$A24)</f>
        <v>468000</v>
      </c>
      <c r="G24" s="10" t="n">
        <f aca="false">B24/Parámetros!$C$8</f>
        <v>0</v>
      </c>
      <c r="H24" s="21" t="n">
        <f aca="false">IF(Parámetros!$D$15=0,0,COUNTIFS(Sesiones!$A$4:$A$903,$A24,Sesiones!$B$4:$B$903,Parámetros!$B$15)/Parámetros!$D$15)</f>
        <v>0</v>
      </c>
      <c r="I24" s="21" t="n">
        <f aca="false">IF(Parámetros!$D$16=0,0,COUNTIFS(Sesiones!$A$4:$A$903,$A24,Sesiones!$B$4:$B$903,Parámetros!$B$16)/Parámetros!$D$16)</f>
        <v>0</v>
      </c>
      <c r="J24" s="21" t="n">
        <f aca="false">IF(Parámetros!$D$17=0,0,COUNTIFS(Sesiones!$A$4:$A$903,$A24,Sesiones!$B$4:$B$903,Parámetros!$B$17)/Parámetros!$D$17)</f>
        <v>0</v>
      </c>
      <c r="K24" s="21" t="n">
        <f aca="false">IF(Parámetros!$D$18=0,0,COUNTIFS(Sesiones!$A$4:$A$903,$A24,Sesiones!$B$4:$B$903,Parámetros!$B$18)/Parámetros!$D$18)</f>
        <v>0</v>
      </c>
      <c r="L24" s="21" t="n">
        <f aca="false">IF(Parámetros!$D$19=0,0,COUNTIFS(Sesiones!$A$4:$A$903,$A24,Sesiones!$B$4:$B$903,Parámetros!$B$19)/Parámetros!$D$19)</f>
        <v>0</v>
      </c>
      <c r="M24" s="21" t="n">
        <f aca="false">IF(Parámetros!$D$20=0,0,COUNTIFS(Sesiones!$A$4:$A$903,$A24,Sesiones!$B$4:$B$903,Parámetros!$B$20)/Parámetros!$D$20)</f>
        <v>0</v>
      </c>
      <c r="N24" s="21" t="n">
        <f aca="false">IF(Parámetros!$D$21=0,0,COUNTIFS(Sesiones!$A$4:$A$903,$A24,Sesiones!$B$4:$B$903,Parámetros!$B$21)/Parámetros!$D$21)</f>
        <v>0</v>
      </c>
      <c r="O24" s="21" t="n">
        <f aca="false">IF(Parámetros!$D$22=0,0,COUNTIFS(Sesiones!$A$4:$A$903,$A24,Sesiones!$B$4:$B$903,Parámetros!$B$22)/Parámetros!$D$22)</f>
        <v>0</v>
      </c>
      <c r="P24" s="21" t="n">
        <f aca="false">IF(Parámetros!$D$23=0,0,COUNTIFS(Sesiones!$A$4:$A$903,$A24,Sesiones!$B$4:$B$903,Parámetros!$B$23)/Parámetros!$D$23)</f>
        <v>0</v>
      </c>
      <c r="Q24" s="21" t="n">
        <f aca="false">IF(Parámetros!$D$24=0,0,COUNTIFS(Sesiones!$A$4:$A$903,$A24,Sesiones!$B$4:$B$903,Parámetros!$B$24)/Parámetros!$D$24)</f>
        <v>0</v>
      </c>
      <c r="R24" s="21" t="n">
        <f aca="false">IF(Parámetros!$D$25=0,0,COUNTIFS(Sesiones!$A$4:$A$903,$A24,Sesiones!$B$4:$B$903,Parámetros!$B$25)/Parámetros!$D$25)</f>
        <v>0</v>
      </c>
      <c r="S24" s="21" t="n">
        <f aca="false">IF(Parámetros!$D$26=0,0,COUNTIFS(Sesiones!$A$4:$A$903,$A24,Sesiones!$B$4:$B$903,Parámetros!$B$26)/Parámetros!$D$26)</f>
        <v>0</v>
      </c>
      <c r="T24" s="21" t="n">
        <f aca="false">IF(Parámetros!$D$27=0,0,COUNTIFS(Sesiones!$A$4:$A$903,$A24,Sesiones!$B$4:$B$903,Parámetros!$B$27)/Parámetros!$D$27)</f>
        <v>0</v>
      </c>
    </row>
    <row r="25" customFormat="false" ht="15" hidden="false" customHeight="false" outlineLevel="0" collapsed="false">
      <c r="A25" s="38" t="n">
        <f aca="false">DATE(Parámetros!$C$6,Parámetros!$C$7,22)</f>
        <v>46256</v>
      </c>
      <c r="B25" s="10" t="n">
        <f aca="false">SUMIFS('Caja Diaria'!$F$4:$F$403,'Caja Diaria'!$B$4:$B$403,"Ingreso",'Caja Diaria'!$A$4:$A$403,$A25)</f>
        <v>0</v>
      </c>
      <c r="C25" s="10" t="n">
        <f aca="false">SUMIFS('Caja Diaria'!$F$4:$F$403,'Caja Diaria'!$B$4:$B$403,"Egreso",'Caja Diaria'!$A$4:$A$403,$A25)</f>
        <v>0</v>
      </c>
      <c r="D25" s="39" t="n">
        <f aca="false">B25-C25</f>
        <v>0</v>
      </c>
      <c r="E25" s="39" t="n">
        <f aca="false">E24+D25</f>
        <v>5761500</v>
      </c>
      <c r="F25" s="39" t="n">
        <f aca="false">F24+SUMIFS('Caja Diaria'!$F$4:$F$403,'Caja Diaria'!$B$4:$B$403,"Ingreso",'Caja Diaria'!$E$4:$E$403,"Efectivo",'Caja Diaria'!$A$4:$A$403,$A25)-SUMIFS('Caja Diaria'!$F$4:$F$403,'Caja Diaria'!$B$4:$B$403,"Egreso",'Caja Diaria'!$E$4:$E$403,"Efectivo",'Caja Diaria'!$A$4:$A$403,$A25)</f>
        <v>468000</v>
      </c>
      <c r="G25" s="10" t="n">
        <f aca="false">B25/Parámetros!$C$8</f>
        <v>0</v>
      </c>
      <c r="H25" s="21" t="n">
        <f aca="false">IF(Parámetros!$D$15=0,0,COUNTIFS(Sesiones!$A$4:$A$903,$A25,Sesiones!$B$4:$B$903,Parámetros!$B$15)/Parámetros!$D$15)</f>
        <v>0</v>
      </c>
      <c r="I25" s="21" t="n">
        <f aca="false">IF(Parámetros!$D$16=0,0,COUNTIFS(Sesiones!$A$4:$A$903,$A25,Sesiones!$B$4:$B$903,Parámetros!$B$16)/Parámetros!$D$16)</f>
        <v>0</v>
      </c>
      <c r="J25" s="21" t="n">
        <f aca="false">IF(Parámetros!$D$17=0,0,COUNTIFS(Sesiones!$A$4:$A$903,$A25,Sesiones!$B$4:$B$903,Parámetros!$B$17)/Parámetros!$D$17)</f>
        <v>0</v>
      </c>
      <c r="K25" s="21" t="n">
        <f aca="false">IF(Parámetros!$D$18=0,0,COUNTIFS(Sesiones!$A$4:$A$903,$A25,Sesiones!$B$4:$B$903,Parámetros!$B$18)/Parámetros!$D$18)</f>
        <v>0</v>
      </c>
      <c r="L25" s="21" t="n">
        <f aca="false">IF(Parámetros!$D$19=0,0,COUNTIFS(Sesiones!$A$4:$A$903,$A25,Sesiones!$B$4:$B$903,Parámetros!$B$19)/Parámetros!$D$19)</f>
        <v>0</v>
      </c>
      <c r="M25" s="21" t="n">
        <f aca="false">IF(Parámetros!$D$20=0,0,COUNTIFS(Sesiones!$A$4:$A$903,$A25,Sesiones!$B$4:$B$903,Parámetros!$B$20)/Parámetros!$D$20)</f>
        <v>0</v>
      </c>
      <c r="N25" s="21" t="n">
        <f aca="false">IF(Parámetros!$D$21=0,0,COUNTIFS(Sesiones!$A$4:$A$903,$A25,Sesiones!$B$4:$B$903,Parámetros!$B$21)/Parámetros!$D$21)</f>
        <v>0</v>
      </c>
      <c r="O25" s="21" t="n">
        <f aca="false">IF(Parámetros!$D$22=0,0,COUNTIFS(Sesiones!$A$4:$A$903,$A25,Sesiones!$B$4:$B$903,Parámetros!$B$22)/Parámetros!$D$22)</f>
        <v>0</v>
      </c>
      <c r="P25" s="21" t="n">
        <f aca="false">IF(Parámetros!$D$23=0,0,COUNTIFS(Sesiones!$A$4:$A$903,$A25,Sesiones!$B$4:$B$903,Parámetros!$B$23)/Parámetros!$D$23)</f>
        <v>0</v>
      </c>
      <c r="Q25" s="21" t="n">
        <f aca="false">IF(Parámetros!$D$24=0,0,COUNTIFS(Sesiones!$A$4:$A$903,$A25,Sesiones!$B$4:$B$903,Parámetros!$B$24)/Parámetros!$D$24)</f>
        <v>0</v>
      </c>
      <c r="R25" s="21" t="n">
        <f aca="false">IF(Parámetros!$D$25=0,0,COUNTIFS(Sesiones!$A$4:$A$903,$A25,Sesiones!$B$4:$B$903,Parámetros!$B$25)/Parámetros!$D$25)</f>
        <v>0</v>
      </c>
      <c r="S25" s="21" t="n">
        <f aca="false">IF(Parámetros!$D$26=0,0,COUNTIFS(Sesiones!$A$4:$A$903,$A25,Sesiones!$B$4:$B$903,Parámetros!$B$26)/Parámetros!$D$26)</f>
        <v>0</v>
      </c>
      <c r="T25" s="21" t="n">
        <f aca="false">IF(Parámetros!$D$27=0,0,COUNTIFS(Sesiones!$A$4:$A$903,$A25,Sesiones!$B$4:$B$903,Parámetros!$B$27)/Parámetros!$D$27)</f>
        <v>0</v>
      </c>
    </row>
    <row r="26" customFormat="false" ht="15" hidden="false" customHeight="false" outlineLevel="0" collapsed="false">
      <c r="A26" s="38" t="n">
        <f aca="false">DATE(Parámetros!$C$6,Parámetros!$C$7,23)</f>
        <v>46257</v>
      </c>
      <c r="B26" s="10" t="n">
        <f aca="false">SUMIFS('Caja Diaria'!$F$4:$F$403,'Caja Diaria'!$B$4:$B$403,"Ingreso",'Caja Diaria'!$A$4:$A$403,$A26)</f>
        <v>0</v>
      </c>
      <c r="C26" s="10" t="n">
        <f aca="false">SUMIFS('Caja Diaria'!$F$4:$F$403,'Caja Diaria'!$B$4:$B$403,"Egreso",'Caja Diaria'!$A$4:$A$403,$A26)</f>
        <v>0</v>
      </c>
      <c r="D26" s="39" t="n">
        <f aca="false">B26-C26</f>
        <v>0</v>
      </c>
      <c r="E26" s="39" t="n">
        <f aca="false">E25+D26</f>
        <v>5761500</v>
      </c>
      <c r="F26" s="39" t="n">
        <f aca="false">F25+SUMIFS('Caja Diaria'!$F$4:$F$403,'Caja Diaria'!$B$4:$B$403,"Ingreso",'Caja Diaria'!$E$4:$E$403,"Efectivo",'Caja Diaria'!$A$4:$A$403,$A26)-SUMIFS('Caja Diaria'!$F$4:$F$403,'Caja Diaria'!$B$4:$B$403,"Egreso",'Caja Diaria'!$E$4:$E$403,"Efectivo",'Caja Diaria'!$A$4:$A$403,$A26)</f>
        <v>468000</v>
      </c>
      <c r="G26" s="10" t="n">
        <f aca="false">B26/Parámetros!$C$8</f>
        <v>0</v>
      </c>
      <c r="H26" s="21" t="n">
        <f aca="false">IF(Parámetros!$D$15=0,0,COUNTIFS(Sesiones!$A$4:$A$903,$A26,Sesiones!$B$4:$B$903,Parámetros!$B$15)/Parámetros!$D$15)</f>
        <v>0</v>
      </c>
      <c r="I26" s="21" t="n">
        <f aca="false">IF(Parámetros!$D$16=0,0,COUNTIFS(Sesiones!$A$4:$A$903,$A26,Sesiones!$B$4:$B$903,Parámetros!$B$16)/Parámetros!$D$16)</f>
        <v>0</v>
      </c>
      <c r="J26" s="21" t="n">
        <f aca="false">IF(Parámetros!$D$17=0,0,COUNTIFS(Sesiones!$A$4:$A$903,$A26,Sesiones!$B$4:$B$903,Parámetros!$B$17)/Parámetros!$D$17)</f>
        <v>0</v>
      </c>
      <c r="K26" s="21" t="n">
        <f aca="false">IF(Parámetros!$D$18=0,0,COUNTIFS(Sesiones!$A$4:$A$903,$A26,Sesiones!$B$4:$B$903,Parámetros!$B$18)/Parámetros!$D$18)</f>
        <v>0</v>
      </c>
      <c r="L26" s="21" t="n">
        <f aca="false">IF(Parámetros!$D$19=0,0,COUNTIFS(Sesiones!$A$4:$A$903,$A26,Sesiones!$B$4:$B$903,Parámetros!$B$19)/Parámetros!$D$19)</f>
        <v>0</v>
      </c>
      <c r="M26" s="21" t="n">
        <f aca="false">IF(Parámetros!$D$20=0,0,COUNTIFS(Sesiones!$A$4:$A$903,$A26,Sesiones!$B$4:$B$903,Parámetros!$B$20)/Parámetros!$D$20)</f>
        <v>0</v>
      </c>
      <c r="N26" s="21" t="n">
        <f aca="false">IF(Parámetros!$D$21=0,0,COUNTIFS(Sesiones!$A$4:$A$903,$A26,Sesiones!$B$4:$B$903,Parámetros!$B$21)/Parámetros!$D$21)</f>
        <v>0</v>
      </c>
      <c r="O26" s="21" t="n">
        <f aca="false">IF(Parámetros!$D$22=0,0,COUNTIFS(Sesiones!$A$4:$A$903,$A26,Sesiones!$B$4:$B$903,Parámetros!$B$22)/Parámetros!$D$22)</f>
        <v>0</v>
      </c>
      <c r="P26" s="21" t="n">
        <f aca="false">IF(Parámetros!$D$23=0,0,COUNTIFS(Sesiones!$A$4:$A$903,$A26,Sesiones!$B$4:$B$903,Parámetros!$B$23)/Parámetros!$D$23)</f>
        <v>0</v>
      </c>
      <c r="Q26" s="21" t="n">
        <f aca="false">IF(Parámetros!$D$24=0,0,COUNTIFS(Sesiones!$A$4:$A$903,$A26,Sesiones!$B$4:$B$903,Parámetros!$B$24)/Parámetros!$D$24)</f>
        <v>0</v>
      </c>
      <c r="R26" s="21" t="n">
        <f aca="false">IF(Parámetros!$D$25=0,0,COUNTIFS(Sesiones!$A$4:$A$903,$A26,Sesiones!$B$4:$B$903,Parámetros!$B$25)/Parámetros!$D$25)</f>
        <v>0</v>
      </c>
      <c r="S26" s="21" t="n">
        <f aca="false">IF(Parámetros!$D$26=0,0,COUNTIFS(Sesiones!$A$4:$A$903,$A26,Sesiones!$B$4:$B$903,Parámetros!$B$26)/Parámetros!$D$26)</f>
        <v>0</v>
      </c>
      <c r="T26" s="21" t="n">
        <f aca="false">IF(Parámetros!$D$27=0,0,COUNTIFS(Sesiones!$A$4:$A$903,$A26,Sesiones!$B$4:$B$903,Parámetros!$B$27)/Parámetros!$D$27)</f>
        <v>0</v>
      </c>
    </row>
    <row r="27" customFormat="false" ht="15" hidden="false" customHeight="false" outlineLevel="0" collapsed="false">
      <c r="A27" s="38" t="n">
        <f aca="false">DATE(Parámetros!$C$6,Parámetros!$C$7,24)</f>
        <v>46258</v>
      </c>
      <c r="B27" s="10" t="n">
        <f aca="false">SUMIFS('Caja Diaria'!$F$4:$F$403,'Caja Diaria'!$B$4:$B$403,"Ingreso",'Caja Diaria'!$A$4:$A$403,$A27)</f>
        <v>0</v>
      </c>
      <c r="C27" s="10" t="n">
        <f aca="false">SUMIFS('Caja Diaria'!$F$4:$F$403,'Caja Diaria'!$B$4:$B$403,"Egreso",'Caja Diaria'!$A$4:$A$403,$A27)</f>
        <v>0</v>
      </c>
      <c r="D27" s="39" t="n">
        <f aca="false">B27-C27</f>
        <v>0</v>
      </c>
      <c r="E27" s="39" t="n">
        <f aca="false">E26+D27</f>
        <v>5761500</v>
      </c>
      <c r="F27" s="39" t="n">
        <f aca="false">F26+SUMIFS('Caja Diaria'!$F$4:$F$403,'Caja Diaria'!$B$4:$B$403,"Ingreso",'Caja Diaria'!$E$4:$E$403,"Efectivo",'Caja Diaria'!$A$4:$A$403,$A27)-SUMIFS('Caja Diaria'!$F$4:$F$403,'Caja Diaria'!$B$4:$B$403,"Egreso",'Caja Diaria'!$E$4:$E$403,"Efectivo",'Caja Diaria'!$A$4:$A$403,$A27)</f>
        <v>468000</v>
      </c>
      <c r="G27" s="10" t="n">
        <f aca="false">B27/Parámetros!$C$8</f>
        <v>0</v>
      </c>
      <c r="H27" s="21" t="n">
        <f aca="false">IF(Parámetros!$D$15=0,0,COUNTIFS(Sesiones!$A$4:$A$903,$A27,Sesiones!$B$4:$B$903,Parámetros!$B$15)/Parámetros!$D$15)</f>
        <v>0</v>
      </c>
      <c r="I27" s="21" t="n">
        <f aca="false">IF(Parámetros!$D$16=0,0,COUNTIFS(Sesiones!$A$4:$A$903,$A27,Sesiones!$B$4:$B$903,Parámetros!$B$16)/Parámetros!$D$16)</f>
        <v>0</v>
      </c>
      <c r="J27" s="21" t="n">
        <f aca="false">IF(Parámetros!$D$17=0,0,COUNTIFS(Sesiones!$A$4:$A$903,$A27,Sesiones!$B$4:$B$903,Parámetros!$B$17)/Parámetros!$D$17)</f>
        <v>0</v>
      </c>
      <c r="K27" s="21" t="n">
        <f aca="false">IF(Parámetros!$D$18=0,0,COUNTIFS(Sesiones!$A$4:$A$903,$A27,Sesiones!$B$4:$B$903,Parámetros!$B$18)/Parámetros!$D$18)</f>
        <v>0</v>
      </c>
      <c r="L27" s="21" t="n">
        <f aca="false">IF(Parámetros!$D$19=0,0,COUNTIFS(Sesiones!$A$4:$A$903,$A27,Sesiones!$B$4:$B$903,Parámetros!$B$19)/Parámetros!$D$19)</f>
        <v>0</v>
      </c>
      <c r="M27" s="21" t="n">
        <f aca="false">IF(Parámetros!$D$20=0,0,COUNTIFS(Sesiones!$A$4:$A$903,$A27,Sesiones!$B$4:$B$903,Parámetros!$B$20)/Parámetros!$D$20)</f>
        <v>0</v>
      </c>
      <c r="N27" s="21" t="n">
        <f aca="false">IF(Parámetros!$D$21=0,0,COUNTIFS(Sesiones!$A$4:$A$903,$A27,Sesiones!$B$4:$B$903,Parámetros!$B$21)/Parámetros!$D$21)</f>
        <v>0</v>
      </c>
      <c r="O27" s="21" t="n">
        <f aca="false">IF(Parámetros!$D$22=0,0,COUNTIFS(Sesiones!$A$4:$A$903,$A27,Sesiones!$B$4:$B$903,Parámetros!$B$22)/Parámetros!$D$22)</f>
        <v>0</v>
      </c>
      <c r="P27" s="21" t="n">
        <f aca="false">IF(Parámetros!$D$23=0,0,COUNTIFS(Sesiones!$A$4:$A$903,$A27,Sesiones!$B$4:$B$903,Parámetros!$B$23)/Parámetros!$D$23)</f>
        <v>0</v>
      </c>
      <c r="Q27" s="21" t="n">
        <f aca="false">IF(Parámetros!$D$24=0,0,COUNTIFS(Sesiones!$A$4:$A$903,$A27,Sesiones!$B$4:$B$903,Parámetros!$B$24)/Parámetros!$D$24)</f>
        <v>0</v>
      </c>
      <c r="R27" s="21" t="n">
        <f aca="false">IF(Parámetros!$D$25=0,0,COUNTIFS(Sesiones!$A$4:$A$903,$A27,Sesiones!$B$4:$B$903,Parámetros!$B$25)/Parámetros!$D$25)</f>
        <v>0</v>
      </c>
      <c r="S27" s="21" t="n">
        <f aca="false">IF(Parámetros!$D$26=0,0,COUNTIFS(Sesiones!$A$4:$A$903,$A27,Sesiones!$B$4:$B$903,Parámetros!$B$26)/Parámetros!$D$26)</f>
        <v>0</v>
      </c>
      <c r="T27" s="21" t="n">
        <f aca="false">IF(Parámetros!$D$27=0,0,COUNTIFS(Sesiones!$A$4:$A$903,$A27,Sesiones!$B$4:$B$903,Parámetros!$B$27)/Parámetros!$D$27)</f>
        <v>0</v>
      </c>
    </row>
    <row r="28" customFormat="false" ht="15" hidden="false" customHeight="false" outlineLevel="0" collapsed="false">
      <c r="A28" s="38" t="n">
        <f aca="false">DATE(Parámetros!$C$6,Parámetros!$C$7,25)</f>
        <v>46259</v>
      </c>
      <c r="B28" s="10" t="n">
        <f aca="false">SUMIFS('Caja Diaria'!$F$4:$F$403,'Caja Diaria'!$B$4:$B$403,"Ingreso",'Caja Diaria'!$A$4:$A$403,$A28)</f>
        <v>0</v>
      </c>
      <c r="C28" s="10" t="n">
        <f aca="false">SUMIFS('Caja Diaria'!$F$4:$F$403,'Caja Diaria'!$B$4:$B$403,"Egreso",'Caja Diaria'!$A$4:$A$403,$A28)</f>
        <v>0</v>
      </c>
      <c r="D28" s="39" t="n">
        <f aca="false">B28-C28</f>
        <v>0</v>
      </c>
      <c r="E28" s="39" t="n">
        <f aca="false">E27+D28</f>
        <v>5761500</v>
      </c>
      <c r="F28" s="39" t="n">
        <f aca="false">F27+SUMIFS('Caja Diaria'!$F$4:$F$403,'Caja Diaria'!$B$4:$B$403,"Ingreso",'Caja Diaria'!$E$4:$E$403,"Efectivo",'Caja Diaria'!$A$4:$A$403,$A28)-SUMIFS('Caja Diaria'!$F$4:$F$403,'Caja Diaria'!$B$4:$B$403,"Egreso",'Caja Diaria'!$E$4:$E$403,"Efectivo",'Caja Diaria'!$A$4:$A$403,$A28)</f>
        <v>468000</v>
      </c>
      <c r="G28" s="10" t="n">
        <f aca="false">B28/Parámetros!$C$8</f>
        <v>0</v>
      </c>
      <c r="H28" s="21" t="n">
        <f aca="false">IF(Parámetros!$D$15=0,0,COUNTIFS(Sesiones!$A$4:$A$903,$A28,Sesiones!$B$4:$B$903,Parámetros!$B$15)/Parámetros!$D$15)</f>
        <v>0</v>
      </c>
      <c r="I28" s="21" t="n">
        <f aca="false">IF(Parámetros!$D$16=0,0,COUNTIFS(Sesiones!$A$4:$A$903,$A28,Sesiones!$B$4:$B$903,Parámetros!$B$16)/Parámetros!$D$16)</f>
        <v>0</v>
      </c>
      <c r="J28" s="21" t="n">
        <f aca="false">IF(Parámetros!$D$17=0,0,COUNTIFS(Sesiones!$A$4:$A$903,$A28,Sesiones!$B$4:$B$903,Parámetros!$B$17)/Parámetros!$D$17)</f>
        <v>0</v>
      </c>
      <c r="K28" s="21" t="n">
        <f aca="false">IF(Parámetros!$D$18=0,0,COUNTIFS(Sesiones!$A$4:$A$903,$A28,Sesiones!$B$4:$B$903,Parámetros!$B$18)/Parámetros!$D$18)</f>
        <v>0</v>
      </c>
      <c r="L28" s="21" t="n">
        <f aca="false">IF(Parámetros!$D$19=0,0,COUNTIFS(Sesiones!$A$4:$A$903,$A28,Sesiones!$B$4:$B$903,Parámetros!$B$19)/Parámetros!$D$19)</f>
        <v>0</v>
      </c>
      <c r="M28" s="21" t="n">
        <f aca="false">IF(Parámetros!$D$20=0,0,COUNTIFS(Sesiones!$A$4:$A$903,$A28,Sesiones!$B$4:$B$903,Parámetros!$B$20)/Parámetros!$D$20)</f>
        <v>0</v>
      </c>
      <c r="N28" s="21" t="n">
        <f aca="false">IF(Parámetros!$D$21=0,0,COUNTIFS(Sesiones!$A$4:$A$903,$A28,Sesiones!$B$4:$B$903,Parámetros!$B$21)/Parámetros!$D$21)</f>
        <v>0</v>
      </c>
      <c r="O28" s="21" t="n">
        <f aca="false">IF(Parámetros!$D$22=0,0,COUNTIFS(Sesiones!$A$4:$A$903,$A28,Sesiones!$B$4:$B$903,Parámetros!$B$22)/Parámetros!$D$22)</f>
        <v>0</v>
      </c>
      <c r="P28" s="21" t="n">
        <f aca="false">IF(Parámetros!$D$23=0,0,COUNTIFS(Sesiones!$A$4:$A$903,$A28,Sesiones!$B$4:$B$903,Parámetros!$B$23)/Parámetros!$D$23)</f>
        <v>0</v>
      </c>
      <c r="Q28" s="21" t="n">
        <f aca="false">IF(Parámetros!$D$24=0,0,COUNTIFS(Sesiones!$A$4:$A$903,$A28,Sesiones!$B$4:$B$903,Parámetros!$B$24)/Parámetros!$D$24)</f>
        <v>0</v>
      </c>
      <c r="R28" s="21" t="n">
        <f aca="false">IF(Parámetros!$D$25=0,0,COUNTIFS(Sesiones!$A$4:$A$903,$A28,Sesiones!$B$4:$B$903,Parámetros!$B$25)/Parámetros!$D$25)</f>
        <v>0</v>
      </c>
      <c r="S28" s="21" t="n">
        <f aca="false">IF(Parámetros!$D$26=0,0,COUNTIFS(Sesiones!$A$4:$A$903,$A28,Sesiones!$B$4:$B$903,Parámetros!$B$26)/Parámetros!$D$26)</f>
        <v>0</v>
      </c>
      <c r="T28" s="21" t="n">
        <f aca="false">IF(Parámetros!$D$27=0,0,COUNTIFS(Sesiones!$A$4:$A$903,$A28,Sesiones!$B$4:$B$903,Parámetros!$B$27)/Parámetros!$D$27)</f>
        <v>0</v>
      </c>
    </row>
    <row r="29" customFormat="false" ht="15" hidden="false" customHeight="false" outlineLevel="0" collapsed="false">
      <c r="A29" s="38" t="n">
        <f aca="false">DATE(Parámetros!$C$6,Parámetros!$C$7,26)</f>
        <v>46260</v>
      </c>
      <c r="B29" s="10" t="n">
        <f aca="false">SUMIFS('Caja Diaria'!$F$4:$F$403,'Caja Diaria'!$B$4:$B$403,"Ingreso",'Caja Diaria'!$A$4:$A$403,$A29)</f>
        <v>0</v>
      </c>
      <c r="C29" s="10" t="n">
        <f aca="false">SUMIFS('Caja Diaria'!$F$4:$F$403,'Caja Diaria'!$B$4:$B$403,"Egreso",'Caja Diaria'!$A$4:$A$403,$A29)</f>
        <v>0</v>
      </c>
      <c r="D29" s="39" t="n">
        <f aca="false">B29-C29</f>
        <v>0</v>
      </c>
      <c r="E29" s="39" t="n">
        <f aca="false">E28+D29</f>
        <v>5761500</v>
      </c>
      <c r="F29" s="39" t="n">
        <f aca="false">F28+SUMIFS('Caja Diaria'!$F$4:$F$403,'Caja Diaria'!$B$4:$B$403,"Ingreso",'Caja Diaria'!$E$4:$E$403,"Efectivo",'Caja Diaria'!$A$4:$A$403,$A29)-SUMIFS('Caja Diaria'!$F$4:$F$403,'Caja Diaria'!$B$4:$B$403,"Egreso",'Caja Diaria'!$E$4:$E$403,"Efectivo",'Caja Diaria'!$A$4:$A$403,$A29)</f>
        <v>468000</v>
      </c>
      <c r="G29" s="10" t="n">
        <f aca="false">B29/Parámetros!$C$8</f>
        <v>0</v>
      </c>
      <c r="H29" s="21" t="n">
        <f aca="false">IF(Parámetros!$D$15=0,0,COUNTIFS(Sesiones!$A$4:$A$903,$A29,Sesiones!$B$4:$B$903,Parámetros!$B$15)/Parámetros!$D$15)</f>
        <v>0</v>
      </c>
      <c r="I29" s="21" t="n">
        <f aca="false">IF(Parámetros!$D$16=0,0,COUNTIFS(Sesiones!$A$4:$A$903,$A29,Sesiones!$B$4:$B$903,Parámetros!$B$16)/Parámetros!$D$16)</f>
        <v>0</v>
      </c>
      <c r="J29" s="21" t="n">
        <f aca="false">IF(Parámetros!$D$17=0,0,COUNTIFS(Sesiones!$A$4:$A$903,$A29,Sesiones!$B$4:$B$903,Parámetros!$B$17)/Parámetros!$D$17)</f>
        <v>0</v>
      </c>
      <c r="K29" s="21" t="n">
        <f aca="false">IF(Parámetros!$D$18=0,0,COUNTIFS(Sesiones!$A$4:$A$903,$A29,Sesiones!$B$4:$B$903,Parámetros!$B$18)/Parámetros!$D$18)</f>
        <v>0</v>
      </c>
      <c r="L29" s="21" t="n">
        <f aca="false">IF(Parámetros!$D$19=0,0,COUNTIFS(Sesiones!$A$4:$A$903,$A29,Sesiones!$B$4:$B$903,Parámetros!$B$19)/Parámetros!$D$19)</f>
        <v>0</v>
      </c>
      <c r="M29" s="21" t="n">
        <f aca="false">IF(Parámetros!$D$20=0,0,COUNTIFS(Sesiones!$A$4:$A$903,$A29,Sesiones!$B$4:$B$903,Parámetros!$B$20)/Parámetros!$D$20)</f>
        <v>0</v>
      </c>
      <c r="N29" s="21" t="n">
        <f aca="false">IF(Parámetros!$D$21=0,0,COUNTIFS(Sesiones!$A$4:$A$903,$A29,Sesiones!$B$4:$B$903,Parámetros!$B$21)/Parámetros!$D$21)</f>
        <v>0</v>
      </c>
      <c r="O29" s="21" t="n">
        <f aca="false">IF(Parámetros!$D$22=0,0,COUNTIFS(Sesiones!$A$4:$A$903,$A29,Sesiones!$B$4:$B$903,Parámetros!$B$22)/Parámetros!$D$22)</f>
        <v>0</v>
      </c>
      <c r="P29" s="21" t="n">
        <f aca="false">IF(Parámetros!$D$23=0,0,COUNTIFS(Sesiones!$A$4:$A$903,$A29,Sesiones!$B$4:$B$903,Parámetros!$B$23)/Parámetros!$D$23)</f>
        <v>0</v>
      </c>
      <c r="Q29" s="21" t="n">
        <f aca="false">IF(Parámetros!$D$24=0,0,COUNTIFS(Sesiones!$A$4:$A$903,$A29,Sesiones!$B$4:$B$903,Parámetros!$B$24)/Parámetros!$D$24)</f>
        <v>0</v>
      </c>
      <c r="R29" s="21" t="n">
        <f aca="false">IF(Parámetros!$D$25=0,0,COUNTIFS(Sesiones!$A$4:$A$903,$A29,Sesiones!$B$4:$B$903,Parámetros!$B$25)/Parámetros!$D$25)</f>
        <v>0</v>
      </c>
      <c r="S29" s="21" t="n">
        <f aca="false">IF(Parámetros!$D$26=0,0,COUNTIFS(Sesiones!$A$4:$A$903,$A29,Sesiones!$B$4:$B$903,Parámetros!$B$26)/Parámetros!$D$26)</f>
        <v>0</v>
      </c>
      <c r="T29" s="21" t="n">
        <f aca="false">IF(Parámetros!$D$27=0,0,COUNTIFS(Sesiones!$A$4:$A$903,$A29,Sesiones!$B$4:$B$903,Parámetros!$B$27)/Parámetros!$D$27)</f>
        <v>0</v>
      </c>
    </row>
    <row r="30" customFormat="false" ht="15" hidden="false" customHeight="false" outlineLevel="0" collapsed="false">
      <c r="A30" s="38" t="n">
        <f aca="false">DATE(Parámetros!$C$6,Parámetros!$C$7,27)</f>
        <v>46261</v>
      </c>
      <c r="B30" s="10" t="n">
        <f aca="false">SUMIFS('Caja Diaria'!$F$4:$F$403,'Caja Diaria'!$B$4:$B$403,"Ingreso",'Caja Diaria'!$A$4:$A$403,$A30)</f>
        <v>0</v>
      </c>
      <c r="C30" s="10" t="n">
        <f aca="false">SUMIFS('Caja Diaria'!$F$4:$F$403,'Caja Diaria'!$B$4:$B$403,"Egreso",'Caja Diaria'!$A$4:$A$403,$A30)</f>
        <v>0</v>
      </c>
      <c r="D30" s="39" t="n">
        <f aca="false">B30-C30</f>
        <v>0</v>
      </c>
      <c r="E30" s="39" t="n">
        <f aca="false">E29+D30</f>
        <v>5761500</v>
      </c>
      <c r="F30" s="39" t="n">
        <f aca="false">F29+SUMIFS('Caja Diaria'!$F$4:$F$403,'Caja Diaria'!$B$4:$B$403,"Ingreso",'Caja Diaria'!$E$4:$E$403,"Efectivo",'Caja Diaria'!$A$4:$A$403,$A30)-SUMIFS('Caja Diaria'!$F$4:$F$403,'Caja Diaria'!$B$4:$B$403,"Egreso",'Caja Diaria'!$E$4:$E$403,"Efectivo",'Caja Diaria'!$A$4:$A$403,$A30)</f>
        <v>468000</v>
      </c>
      <c r="G30" s="10" t="n">
        <f aca="false">B30/Parámetros!$C$8</f>
        <v>0</v>
      </c>
      <c r="H30" s="21" t="n">
        <f aca="false">IF(Parámetros!$D$15=0,0,COUNTIFS(Sesiones!$A$4:$A$903,$A30,Sesiones!$B$4:$B$903,Parámetros!$B$15)/Parámetros!$D$15)</f>
        <v>0</v>
      </c>
      <c r="I30" s="21" t="n">
        <f aca="false">IF(Parámetros!$D$16=0,0,COUNTIFS(Sesiones!$A$4:$A$903,$A30,Sesiones!$B$4:$B$903,Parámetros!$B$16)/Parámetros!$D$16)</f>
        <v>0</v>
      </c>
      <c r="J30" s="21" t="n">
        <f aca="false">IF(Parámetros!$D$17=0,0,COUNTIFS(Sesiones!$A$4:$A$903,$A30,Sesiones!$B$4:$B$903,Parámetros!$B$17)/Parámetros!$D$17)</f>
        <v>0</v>
      </c>
      <c r="K30" s="21" t="n">
        <f aca="false">IF(Parámetros!$D$18=0,0,COUNTIFS(Sesiones!$A$4:$A$903,$A30,Sesiones!$B$4:$B$903,Parámetros!$B$18)/Parámetros!$D$18)</f>
        <v>0</v>
      </c>
      <c r="L30" s="21" t="n">
        <f aca="false">IF(Parámetros!$D$19=0,0,COUNTIFS(Sesiones!$A$4:$A$903,$A30,Sesiones!$B$4:$B$903,Parámetros!$B$19)/Parámetros!$D$19)</f>
        <v>0</v>
      </c>
      <c r="M30" s="21" t="n">
        <f aca="false">IF(Parámetros!$D$20=0,0,COUNTIFS(Sesiones!$A$4:$A$903,$A30,Sesiones!$B$4:$B$903,Parámetros!$B$20)/Parámetros!$D$20)</f>
        <v>0</v>
      </c>
      <c r="N30" s="21" t="n">
        <f aca="false">IF(Parámetros!$D$21=0,0,COUNTIFS(Sesiones!$A$4:$A$903,$A30,Sesiones!$B$4:$B$903,Parámetros!$B$21)/Parámetros!$D$21)</f>
        <v>0</v>
      </c>
      <c r="O30" s="21" t="n">
        <f aca="false">IF(Parámetros!$D$22=0,0,COUNTIFS(Sesiones!$A$4:$A$903,$A30,Sesiones!$B$4:$B$903,Parámetros!$B$22)/Parámetros!$D$22)</f>
        <v>0</v>
      </c>
      <c r="P30" s="21" t="n">
        <f aca="false">IF(Parámetros!$D$23=0,0,COUNTIFS(Sesiones!$A$4:$A$903,$A30,Sesiones!$B$4:$B$903,Parámetros!$B$23)/Parámetros!$D$23)</f>
        <v>0</v>
      </c>
      <c r="Q30" s="21" t="n">
        <f aca="false">IF(Parámetros!$D$24=0,0,COUNTIFS(Sesiones!$A$4:$A$903,$A30,Sesiones!$B$4:$B$903,Parámetros!$B$24)/Parámetros!$D$24)</f>
        <v>0</v>
      </c>
      <c r="R30" s="21" t="n">
        <f aca="false">IF(Parámetros!$D$25=0,0,COUNTIFS(Sesiones!$A$4:$A$903,$A30,Sesiones!$B$4:$B$903,Parámetros!$B$25)/Parámetros!$D$25)</f>
        <v>0</v>
      </c>
      <c r="S30" s="21" t="n">
        <f aca="false">IF(Parámetros!$D$26=0,0,COUNTIFS(Sesiones!$A$4:$A$903,$A30,Sesiones!$B$4:$B$903,Parámetros!$B$26)/Parámetros!$D$26)</f>
        <v>0</v>
      </c>
      <c r="T30" s="21" t="n">
        <f aca="false">IF(Parámetros!$D$27=0,0,COUNTIFS(Sesiones!$A$4:$A$903,$A30,Sesiones!$B$4:$B$903,Parámetros!$B$27)/Parámetros!$D$27)</f>
        <v>0</v>
      </c>
    </row>
    <row r="31" customFormat="false" ht="15" hidden="false" customHeight="false" outlineLevel="0" collapsed="false">
      <c r="A31" s="38" t="n">
        <f aca="false">DATE(Parámetros!$C$6,Parámetros!$C$7,28)</f>
        <v>46262</v>
      </c>
      <c r="B31" s="10" t="n">
        <f aca="false">SUMIFS('Caja Diaria'!$F$4:$F$403,'Caja Diaria'!$B$4:$B$403,"Ingreso",'Caja Diaria'!$A$4:$A$403,$A31)</f>
        <v>0</v>
      </c>
      <c r="C31" s="10" t="n">
        <f aca="false">SUMIFS('Caja Diaria'!$F$4:$F$403,'Caja Diaria'!$B$4:$B$403,"Egreso",'Caja Diaria'!$A$4:$A$403,$A31)</f>
        <v>0</v>
      </c>
      <c r="D31" s="39" t="n">
        <f aca="false">B31-C31</f>
        <v>0</v>
      </c>
      <c r="E31" s="39" t="n">
        <f aca="false">E30+D31</f>
        <v>5761500</v>
      </c>
      <c r="F31" s="39" t="n">
        <f aca="false">F30+SUMIFS('Caja Diaria'!$F$4:$F$403,'Caja Diaria'!$B$4:$B$403,"Ingreso",'Caja Diaria'!$E$4:$E$403,"Efectivo",'Caja Diaria'!$A$4:$A$403,$A31)-SUMIFS('Caja Diaria'!$F$4:$F$403,'Caja Diaria'!$B$4:$B$403,"Egreso",'Caja Diaria'!$E$4:$E$403,"Efectivo",'Caja Diaria'!$A$4:$A$403,$A31)</f>
        <v>468000</v>
      </c>
      <c r="G31" s="10" t="n">
        <f aca="false">B31/Parámetros!$C$8</f>
        <v>0</v>
      </c>
      <c r="H31" s="21" t="n">
        <f aca="false">IF(Parámetros!$D$15=0,0,COUNTIFS(Sesiones!$A$4:$A$903,$A31,Sesiones!$B$4:$B$903,Parámetros!$B$15)/Parámetros!$D$15)</f>
        <v>0</v>
      </c>
      <c r="I31" s="21" t="n">
        <f aca="false">IF(Parámetros!$D$16=0,0,COUNTIFS(Sesiones!$A$4:$A$903,$A31,Sesiones!$B$4:$B$903,Parámetros!$B$16)/Parámetros!$D$16)</f>
        <v>0</v>
      </c>
      <c r="J31" s="21" t="n">
        <f aca="false">IF(Parámetros!$D$17=0,0,COUNTIFS(Sesiones!$A$4:$A$903,$A31,Sesiones!$B$4:$B$903,Parámetros!$B$17)/Parámetros!$D$17)</f>
        <v>0</v>
      </c>
      <c r="K31" s="21" t="n">
        <f aca="false">IF(Parámetros!$D$18=0,0,COUNTIFS(Sesiones!$A$4:$A$903,$A31,Sesiones!$B$4:$B$903,Parámetros!$B$18)/Parámetros!$D$18)</f>
        <v>0</v>
      </c>
      <c r="L31" s="21" t="n">
        <f aca="false">IF(Parámetros!$D$19=0,0,COUNTIFS(Sesiones!$A$4:$A$903,$A31,Sesiones!$B$4:$B$903,Parámetros!$B$19)/Parámetros!$D$19)</f>
        <v>0</v>
      </c>
      <c r="M31" s="21" t="n">
        <f aca="false">IF(Parámetros!$D$20=0,0,COUNTIFS(Sesiones!$A$4:$A$903,$A31,Sesiones!$B$4:$B$903,Parámetros!$B$20)/Parámetros!$D$20)</f>
        <v>0</v>
      </c>
      <c r="N31" s="21" t="n">
        <f aca="false">IF(Parámetros!$D$21=0,0,COUNTIFS(Sesiones!$A$4:$A$903,$A31,Sesiones!$B$4:$B$903,Parámetros!$B$21)/Parámetros!$D$21)</f>
        <v>0</v>
      </c>
      <c r="O31" s="21" t="n">
        <f aca="false">IF(Parámetros!$D$22=0,0,COUNTIFS(Sesiones!$A$4:$A$903,$A31,Sesiones!$B$4:$B$903,Parámetros!$B$22)/Parámetros!$D$22)</f>
        <v>0</v>
      </c>
      <c r="P31" s="21" t="n">
        <f aca="false">IF(Parámetros!$D$23=0,0,COUNTIFS(Sesiones!$A$4:$A$903,$A31,Sesiones!$B$4:$B$903,Parámetros!$B$23)/Parámetros!$D$23)</f>
        <v>0</v>
      </c>
      <c r="Q31" s="21" t="n">
        <f aca="false">IF(Parámetros!$D$24=0,0,COUNTIFS(Sesiones!$A$4:$A$903,$A31,Sesiones!$B$4:$B$903,Parámetros!$B$24)/Parámetros!$D$24)</f>
        <v>0</v>
      </c>
      <c r="R31" s="21" t="n">
        <f aca="false">IF(Parámetros!$D$25=0,0,COUNTIFS(Sesiones!$A$4:$A$903,$A31,Sesiones!$B$4:$B$903,Parámetros!$B$25)/Parámetros!$D$25)</f>
        <v>0</v>
      </c>
      <c r="S31" s="21" t="n">
        <f aca="false">IF(Parámetros!$D$26=0,0,COUNTIFS(Sesiones!$A$4:$A$903,$A31,Sesiones!$B$4:$B$903,Parámetros!$B$26)/Parámetros!$D$26)</f>
        <v>0</v>
      </c>
      <c r="T31" s="21" t="n">
        <f aca="false">IF(Parámetros!$D$27=0,0,COUNTIFS(Sesiones!$A$4:$A$903,$A31,Sesiones!$B$4:$B$903,Parámetros!$B$27)/Parámetros!$D$27)</f>
        <v>0</v>
      </c>
    </row>
    <row r="32" customFormat="false" ht="15" hidden="false" customHeight="false" outlineLevel="0" collapsed="false">
      <c r="A32" s="38" t="n">
        <f aca="false">DATE(Parámetros!$C$6,Parámetros!$C$7,29)</f>
        <v>46263</v>
      </c>
      <c r="B32" s="10" t="n">
        <f aca="false">SUMIFS('Caja Diaria'!$F$4:$F$403,'Caja Diaria'!$B$4:$B$403,"Ingreso",'Caja Diaria'!$A$4:$A$403,$A32)</f>
        <v>0</v>
      </c>
      <c r="C32" s="10" t="n">
        <f aca="false">SUMIFS('Caja Diaria'!$F$4:$F$403,'Caja Diaria'!$B$4:$B$403,"Egreso",'Caja Diaria'!$A$4:$A$403,$A32)</f>
        <v>0</v>
      </c>
      <c r="D32" s="39" t="n">
        <f aca="false">B32-C32</f>
        <v>0</v>
      </c>
      <c r="E32" s="39" t="n">
        <f aca="false">E31+D32</f>
        <v>5761500</v>
      </c>
      <c r="F32" s="39" t="n">
        <f aca="false">F31+SUMIFS('Caja Diaria'!$F$4:$F$403,'Caja Diaria'!$B$4:$B$403,"Ingreso",'Caja Diaria'!$E$4:$E$403,"Efectivo",'Caja Diaria'!$A$4:$A$403,$A32)-SUMIFS('Caja Diaria'!$F$4:$F$403,'Caja Diaria'!$B$4:$B$403,"Egreso",'Caja Diaria'!$E$4:$E$403,"Efectivo",'Caja Diaria'!$A$4:$A$403,$A32)</f>
        <v>468000</v>
      </c>
      <c r="G32" s="10" t="n">
        <f aca="false">B32/Parámetros!$C$8</f>
        <v>0</v>
      </c>
      <c r="H32" s="21" t="n">
        <f aca="false">IF(Parámetros!$D$15=0,0,COUNTIFS(Sesiones!$A$4:$A$903,$A32,Sesiones!$B$4:$B$903,Parámetros!$B$15)/Parámetros!$D$15)</f>
        <v>0</v>
      </c>
      <c r="I32" s="21" t="n">
        <f aca="false">IF(Parámetros!$D$16=0,0,COUNTIFS(Sesiones!$A$4:$A$903,$A32,Sesiones!$B$4:$B$903,Parámetros!$B$16)/Parámetros!$D$16)</f>
        <v>0</v>
      </c>
      <c r="J32" s="21" t="n">
        <f aca="false">IF(Parámetros!$D$17=0,0,COUNTIFS(Sesiones!$A$4:$A$903,$A32,Sesiones!$B$4:$B$903,Parámetros!$B$17)/Parámetros!$D$17)</f>
        <v>0</v>
      </c>
      <c r="K32" s="21" t="n">
        <f aca="false">IF(Parámetros!$D$18=0,0,COUNTIFS(Sesiones!$A$4:$A$903,$A32,Sesiones!$B$4:$B$903,Parámetros!$B$18)/Parámetros!$D$18)</f>
        <v>0</v>
      </c>
      <c r="L32" s="21" t="n">
        <f aca="false">IF(Parámetros!$D$19=0,0,COUNTIFS(Sesiones!$A$4:$A$903,$A32,Sesiones!$B$4:$B$903,Parámetros!$B$19)/Parámetros!$D$19)</f>
        <v>0</v>
      </c>
      <c r="M32" s="21" t="n">
        <f aca="false">IF(Parámetros!$D$20=0,0,COUNTIFS(Sesiones!$A$4:$A$903,$A32,Sesiones!$B$4:$B$903,Parámetros!$B$20)/Parámetros!$D$20)</f>
        <v>0</v>
      </c>
      <c r="N32" s="21" t="n">
        <f aca="false">IF(Parámetros!$D$21=0,0,COUNTIFS(Sesiones!$A$4:$A$903,$A32,Sesiones!$B$4:$B$903,Parámetros!$B$21)/Parámetros!$D$21)</f>
        <v>0</v>
      </c>
      <c r="O32" s="21" t="n">
        <f aca="false">IF(Parámetros!$D$22=0,0,COUNTIFS(Sesiones!$A$4:$A$903,$A32,Sesiones!$B$4:$B$903,Parámetros!$B$22)/Parámetros!$D$22)</f>
        <v>0</v>
      </c>
      <c r="P32" s="21" t="n">
        <f aca="false">IF(Parámetros!$D$23=0,0,COUNTIFS(Sesiones!$A$4:$A$903,$A32,Sesiones!$B$4:$B$903,Parámetros!$B$23)/Parámetros!$D$23)</f>
        <v>0</v>
      </c>
      <c r="Q32" s="21" t="n">
        <f aca="false">IF(Parámetros!$D$24=0,0,COUNTIFS(Sesiones!$A$4:$A$903,$A32,Sesiones!$B$4:$B$903,Parámetros!$B$24)/Parámetros!$D$24)</f>
        <v>0</v>
      </c>
      <c r="R32" s="21" t="n">
        <f aca="false">IF(Parámetros!$D$25=0,0,COUNTIFS(Sesiones!$A$4:$A$903,$A32,Sesiones!$B$4:$B$903,Parámetros!$B$25)/Parámetros!$D$25)</f>
        <v>0</v>
      </c>
      <c r="S32" s="21" t="n">
        <f aca="false">IF(Parámetros!$D$26=0,0,COUNTIFS(Sesiones!$A$4:$A$903,$A32,Sesiones!$B$4:$B$903,Parámetros!$B$26)/Parámetros!$D$26)</f>
        <v>0</v>
      </c>
      <c r="T32" s="21" t="n">
        <f aca="false">IF(Parámetros!$D$27=0,0,COUNTIFS(Sesiones!$A$4:$A$903,$A32,Sesiones!$B$4:$B$903,Parámetros!$B$27)/Parámetros!$D$27)</f>
        <v>0</v>
      </c>
    </row>
    <row r="33" customFormat="false" ht="15" hidden="false" customHeight="false" outlineLevel="0" collapsed="false">
      <c r="A33" s="38" t="n">
        <f aca="false">DATE(Parámetros!$C$6,Parámetros!$C$7,30)</f>
        <v>46264</v>
      </c>
      <c r="B33" s="10" t="n">
        <f aca="false">SUMIFS('Caja Diaria'!$F$4:$F$403,'Caja Diaria'!$B$4:$B$403,"Ingreso",'Caja Diaria'!$A$4:$A$403,$A33)</f>
        <v>0</v>
      </c>
      <c r="C33" s="10" t="n">
        <f aca="false">SUMIFS('Caja Diaria'!$F$4:$F$403,'Caja Diaria'!$B$4:$B$403,"Egreso",'Caja Diaria'!$A$4:$A$403,$A33)</f>
        <v>0</v>
      </c>
      <c r="D33" s="39" t="n">
        <f aca="false">B33-C33</f>
        <v>0</v>
      </c>
      <c r="E33" s="39" t="n">
        <f aca="false">E32+D33</f>
        <v>5761500</v>
      </c>
      <c r="F33" s="39" t="n">
        <f aca="false">F32+SUMIFS('Caja Diaria'!$F$4:$F$403,'Caja Diaria'!$B$4:$B$403,"Ingreso",'Caja Diaria'!$E$4:$E$403,"Efectivo",'Caja Diaria'!$A$4:$A$403,$A33)-SUMIFS('Caja Diaria'!$F$4:$F$403,'Caja Diaria'!$B$4:$B$403,"Egreso",'Caja Diaria'!$E$4:$E$403,"Efectivo",'Caja Diaria'!$A$4:$A$403,$A33)</f>
        <v>468000</v>
      </c>
      <c r="G33" s="10" t="n">
        <f aca="false">B33/Parámetros!$C$8</f>
        <v>0</v>
      </c>
      <c r="H33" s="21" t="n">
        <f aca="false">IF(Parámetros!$D$15=0,0,COUNTIFS(Sesiones!$A$4:$A$903,$A33,Sesiones!$B$4:$B$903,Parámetros!$B$15)/Parámetros!$D$15)</f>
        <v>0</v>
      </c>
      <c r="I33" s="21" t="n">
        <f aca="false">IF(Parámetros!$D$16=0,0,COUNTIFS(Sesiones!$A$4:$A$903,$A33,Sesiones!$B$4:$B$903,Parámetros!$B$16)/Parámetros!$D$16)</f>
        <v>0</v>
      </c>
      <c r="J33" s="21" t="n">
        <f aca="false">IF(Parámetros!$D$17=0,0,COUNTIFS(Sesiones!$A$4:$A$903,$A33,Sesiones!$B$4:$B$903,Parámetros!$B$17)/Parámetros!$D$17)</f>
        <v>0</v>
      </c>
      <c r="K33" s="21" t="n">
        <f aca="false">IF(Parámetros!$D$18=0,0,COUNTIFS(Sesiones!$A$4:$A$903,$A33,Sesiones!$B$4:$B$903,Parámetros!$B$18)/Parámetros!$D$18)</f>
        <v>0</v>
      </c>
      <c r="L33" s="21" t="n">
        <f aca="false">IF(Parámetros!$D$19=0,0,COUNTIFS(Sesiones!$A$4:$A$903,$A33,Sesiones!$B$4:$B$903,Parámetros!$B$19)/Parámetros!$D$19)</f>
        <v>0</v>
      </c>
      <c r="M33" s="21" t="n">
        <f aca="false">IF(Parámetros!$D$20=0,0,COUNTIFS(Sesiones!$A$4:$A$903,$A33,Sesiones!$B$4:$B$903,Parámetros!$B$20)/Parámetros!$D$20)</f>
        <v>0</v>
      </c>
      <c r="N33" s="21" t="n">
        <f aca="false">IF(Parámetros!$D$21=0,0,COUNTIFS(Sesiones!$A$4:$A$903,$A33,Sesiones!$B$4:$B$903,Parámetros!$B$21)/Parámetros!$D$21)</f>
        <v>0</v>
      </c>
      <c r="O33" s="21" t="n">
        <f aca="false">IF(Parámetros!$D$22=0,0,COUNTIFS(Sesiones!$A$4:$A$903,$A33,Sesiones!$B$4:$B$903,Parámetros!$B$22)/Parámetros!$D$22)</f>
        <v>0</v>
      </c>
      <c r="P33" s="21" t="n">
        <f aca="false">IF(Parámetros!$D$23=0,0,COUNTIFS(Sesiones!$A$4:$A$903,$A33,Sesiones!$B$4:$B$903,Parámetros!$B$23)/Parámetros!$D$23)</f>
        <v>0</v>
      </c>
      <c r="Q33" s="21" t="n">
        <f aca="false">IF(Parámetros!$D$24=0,0,COUNTIFS(Sesiones!$A$4:$A$903,$A33,Sesiones!$B$4:$B$903,Parámetros!$B$24)/Parámetros!$D$24)</f>
        <v>0</v>
      </c>
      <c r="R33" s="21" t="n">
        <f aca="false">IF(Parámetros!$D$25=0,0,COUNTIFS(Sesiones!$A$4:$A$903,$A33,Sesiones!$B$4:$B$903,Parámetros!$B$25)/Parámetros!$D$25)</f>
        <v>0</v>
      </c>
      <c r="S33" s="21" t="n">
        <f aca="false">IF(Parámetros!$D$26=0,0,COUNTIFS(Sesiones!$A$4:$A$903,$A33,Sesiones!$B$4:$B$903,Parámetros!$B$26)/Parámetros!$D$26)</f>
        <v>0</v>
      </c>
      <c r="T33" s="21" t="n">
        <f aca="false">IF(Parámetros!$D$27=0,0,COUNTIFS(Sesiones!$A$4:$A$903,$A33,Sesiones!$B$4:$B$903,Parámetros!$B$27)/Parámetros!$D$27)</f>
        <v>0</v>
      </c>
    </row>
    <row r="34" customFormat="false" ht="15" hidden="false" customHeight="false" outlineLevel="0" collapsed="false">
      <c r="A34" s="38" t="n">
        <f aca="false">DATE(Parámetros!$C$6,Parámetros!$C$7,31)</f>
        <v>46265</v>
      </c>
      <c r="B34" s="10" t="n">
        <f aca="false">SUMIFS('Caja Diaria'!$F$4:$F$403,'Caja Diaria'!$B$4:$B$403,"Ingreso",'Caja Diaria'!$A$4:$A$403,$A34)</f>
        <v>0</v>
      </c>
      <c r="C34" s="10" t="n">
        <f aca="false">SUMIFS('Caja Diaria'!$F$4:$F$403,'Caja Diaria'!$B$4:$B$403,"Egreso",'Caja Diaria'!$A$4:$A$403,$A34)</f>
        <v>0</v>
      </c>
      <c r="D34" s="39" t="n">
        <f aca="false">B34-C34</f>
        <v>0</v>
      </c>
      <c r="E34" s="39" t="n">
        <f aca="false">E33+D34</f>
        <v>5761500</v>
      </c>
      <c r="F34" s="39" t="n">
        <f aca="false">F33+SUMIFS('Caja Diaria'!$F$4:$F$403,'Caja Diaria'!$B$4:$B$403,"Ingreso",'Caja Diaria'!$E$4:$E$403,"Efectivo",'Caja Diaria'!$A$4:$A$403,$A34)-SUMIFS('Caja Diaria'!$F$4:$F$403,'Caja Diaria'!$B$4:$B$403,"Egreso",'Caja Diaria'!$E$4:$E$403,"Efectivo",'Caja Diaria'!$A$4:$A$403,$A34)</f>
        <v>468000</v>
      </c>
      <c r="G34" s="10" t="n">
        <f aca="false">B34/Parámetros!$C$8</f>
        <v>0</v>
      </c>
      <c r="H34" s="21" t="n">
        <f aca="false">IF(Parámetros!$D$15=0,0,COUNTIFS(Sesiones!$A$4:$A$903,$A34,Sesiones!$B$4:$B$903,Parámetros!$B$15)/Parámetros!$D$15)</f>
        <v>0</v>
      </c>
      <c r="I34" s="21" t="n">
        <f aca="false">IF(Parámetros!$D$16=0,0,COUNTIFS(Sesiones!$A$4:$A$903,$A34,Sesiones!$B$4:$B$903,Parámetros!$B$16)/Parámetros!$D$16)</f>
        <v>0</v>
      </c>
      <c r="J34" s="21" t="n">
        <f aca="false">IF(Parámetros!$D$17=0,0,COUNTIFS(Sesiones!$A$4:$A$903,$A34,Sesiones!$B$4:$B$903,Parámetros!$B$17)/Parámetros!$D$17)</f>
        <v>0</v>
      </c>
      <c r="K34" s="21" t="n">
        <f aca="false">IF(Parámetros!$D$18=0,0,COUNTIFS(Sesiones!$A$4:$A$903,$A34,Sesiones!$B$4:$B$903,Parámetros!$B$18)/Parámetros!$D$18)</f>
        <v>0</v>
      </c>
      <c r="L34" s="21" t="n">
        <f aca="false">IF(Parámetros!$D$19=0,0,COUNTIFS(Sesiones!$A$4:$A$903,$A34,Sesiones!$B$4:$B$903,Parámetros!$B$19)/Parámetros!$D$19)</f>
        <v>0</v>
      </c>
      <c r="M34" s="21" t="n">
        <f aca="false">IF(Parámetros!$D$20=0,0,COUNTIFS(Sesiones!$A$4:$A$903,$A34,Sesiones!$B$4:$B$903,Parámetros!$B$20)/Parámetros!$D$20)</f>
        <v>0</v>
      </c>
      <c r="N34" s="21" t="n">
        <f aca="false">IF(Parámetros!$D$21=0,0,COUNTIFS(Sesiones!$A$4:$A$903,$A34,Sesiones!$B$4:$B$903,Parámetros!$B$21)/Parámetros!$D$21)</f>
        <v>0</v>
      </c>
      <c r="O34" s="21" t="n">
        <f aca="false">IF(Parámetros!$D$22=0,0,COUNTIFS(Sesiones!$A$4:$A$903,$A34,Sesiones!$B$4:$B$903,Parámetros!$B$22)/Parámetros!$D$22)</f>
        <v>0</v>
      </c>
      <c r="P34" s="21" t="n">
        <f aca="false">IF(Parámetros!$D$23=0,0,COUNTIFS(Sesiones!$A$4:$A$903,$A34,Sesiones!$B$4:$B$903,Parámetros!$B$23)/Parámetros!$D$23)</f>
        <v>0</v>
      </c>
      <c r="Q34" s="21" t="n">
        <f aca="false">IF(Parámetros!$D$24=0,0,COUNTIFS(Sesiones!$A$4:$A$903,$A34,Sesiones!$B$4:$B$903,Parámetros!$B$24)/Parámetros!$D$24)</f>
        <v>0</v>
      </c>
      <c r="R34" s="21" t="n">
        <f aca="false">IF(Parámetros!$D$25=0,0,COUNTIFS(Sesiones!$A$4:$A$903,$A34,Sesiones!$B$4:$B$903,Parámetros!$B$25)/Parámetros!$D$25)</f>
        <v>0</v>
      </c>
      <c r="S34" s="21" t="n">
        <f aca="false">IF(Parámetros!$D$26=0,0,COUNTIFS(Sesiones!$A$4:$A$903,$A34,Sesiones!$B$4:$B$903,Parámetros!$B$26)/Parámetros!$D$26)</f>
        <v>0</v>
      </c>
      <c r="T34" s="21" t="n">
        <f aca="false">IF(Parámetros!$D$27=0,0,COUNTIFS(Sesiones!$A$4:$A$903,$A34,Sesiones!$B$4:$B$903,Parámetros!$B$27)/Parámetros!$D$27)</f>
        <v>0</v>
      </c>
    </row>
    <row r="35" customFormat="false" ht="15" hidden="false" customHeight="false" outlineLevel="0" collapsed="false">
      <c r="A35" s="12" t="s">
        <v>140</v>
      </c>
      <c r="B35" s="13" t="n">
        <f aca="false">SUM(B4:B34)</f>
        <v>5836500</v>
      </c>
      <c r="C35" s="13" t="n">
        <f aca="false">SUM(C4:C34)</f>
        <v>75000</v>
      </c>
      <c r="D35" s="13" t="n">
        <f aca="false">SUM(D4:D34)</f>
        <v>5761500</v>
      </c>
      <c r="E35" s="13" t="n">
        <f aca="false">E34</f>
        <v>5761500</v>
      </c>
      <c r="F35" s="13" t="n">
        <f aca="false">F34</f>
        <v>468000</v>
      </c>
      <c r="G35" s="13" t="n">
        <f aca="false">SUM(G4:G34)</f>
        <v>3891</v>
      </c>
      <c r="H35" s="14" t="n">
        <f aca="false">AVERAGE(H4:H34)</f>
        <v>0.00537634408602151</v>
      </c>
      <c r="I35" s="14" t="n">
        <f aca="false">AVERAGE(I4:I34)</f>
        <v>0</v>
      </c>
      <c r="J35" s="14" t="n">
        <f aca="false">AVERAGE(J4:J34)</f>
        <v>0.00268817204301075</v>
      </c>
      <c r="K35" s="14" t="n">
        <f aca="false">AVERAGE(K4:K34)</f>
        <v>0.00134408602150538</v>
      </c>
      <c r="L35" s="14" t="n">
        <f aca="false">AVERAGE(L4:L34)</f>
        <v>0.00134408602150538</v>
      </c>
      <c r="M35" s="14" t="n">
        <f aca="false">AVERAGE(M4:M34)</f>
        <v>0.00268817204301075</v>
      </c>
      <c r="N35" s="14" t="n">
        <f aca="false">AVERAGE(N4:N34)</f>
        <v>0</v>
      </c>
      <c r="O35" s="14" t="n">
        <f aca="false">AVERAGE(O4:O34)</f>
        <v>0.00134408602150538</v>
      </c>
      <c r="P35" s="14" t="n">
        <f aca="false">AVERAGE(P4:P34)</f>
        <v>0</v>
      </c>
      <c r="Q35" s="14" t="n">
        <f aca="false">AVERAGE(Q4:Q34)</f>
        <v>0</v>
      </c>
      <c r="R35" s="14" t="n">
        <f aca="false">AVERAGE(R4:R34)</f>
        <v>0</v>
      </c>
      <c r="S35" s="14" t="n">
        <f aca="false">AVERAGE(S4:S34)</f>
        <v>0</v>
      </c>
      <c r="T35" s="14" t="n">
        <f aca="false">AVERAGE(T4:T34)</f>
        <v>0.00268817204301075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6" min="3" style="1" width="16"/>
  </cols>
  <sheetData>
    <row r="1" customFormat="false" ht="24" hidden="false" customHeight="true" outlineLevel="0" collapsed="false">
      <c r="B1" s="2" t="s">
        <v>141</v>
      </c>
      <c r="C1" s="2"/>
      <c r="D1" s="2"/>
      <c r="E1" s="2"/>
      <c r="F1" s="2"/>
    </row>
    <row r="2" customFormat="false" ht="15" hidden="false" customHeight="false" outlineLevel="0" collapsed="false">
      <c r="B2" s="3" t="s">
        <v>142</v>
      </c>
      <c r="C2" s="3"/>
      <c r="D2" s="3"/>
      <c r="E2" s="3"/>
      <c r="F2" s="3"/>
    </row>
    <row r="4" customFormat="false" ht="15.75" hidden="false" customHeight="true" outlineLevel="0" collapsed="false">
      <c r="B4" s="29" t="s">
        <v>14</v>
      </c>
    </row>
    <row r="5" customFormat="false" ht="15" hidden="false" customHeight="false" outlineLevel="0" collapsed="false">
      <c r="B5" s="8" t="s">
        <v>143</v>
      </c>
      <c r="C5" s="8" t="s">
        <v>144</v>
      </c>
      <c r="D5" s="8" t="s">
        <v>145</v>
      </c>
      <c r="E5" s="8" t="s">
        <v>146</v>
      </c>
    </row>
    <row r="6" customFormat="false" ht="15" hidden="false" customHeight="false" outlineLevel="0" collapsed="false">
      <c r="B6" s="9" t="s">
        <v>124</v>
      </c>
      <c r="C6" s="30" t="n">
        <v>5</v>
      </c>
      <c r="D6" s="40" t="n">
        <v>718</v>
      </c>
      <c r="E6" s="10" t="n">
        <f aca="false">C6*D6</f>
        <v>3590</v>
      </c>
    </row>
    <row r="7" customFormat="false" ht="15" hidden="false" customHeight="false" outlineLevel="0" collapsed="false">
      <c r="B7" s="9" t="s">
        <v>147</v>
      </c>
      <c r="C7" s="30" t="n">
        <v>0</v>
      </c>
      <c r="D7" s="40" t="n">
        <v>1008</v>
      </c>
      <c r="E7" s="10" t="n">
        <f aca="false">C7*D7</f>
        <v>0</v>
      </c>
    </row>
    <row r="8" customFormat="false" ht="15" hidden="false" customHeight="false" outlineLevel="0" collapsed="false">
      <c r="B8" s="9" t="s">
        <v>148</v>
      </c>
      <c r="C8" s="30" t="n">
        <v>3</v>
      </c>
      <c r="D8" s="40" t="n">
        <v>1752</v>
      </c>
      <c r="E8" s="10" t="n">
        <f aca="false">C8*D8</f>
        <v>5256</v>
      </c>
    </row>
    <row r="9" customFormat="false" ht="15" hidden="false" customHeight="false" outlineLevel="0" collapsed="false">
      <c r="B9" s="9" t="s">
        <v>149</v>
      </c>
      <c r="C9" s="30" t="n">
        <v>0</v>
      </c>
      <c r="D9" s="40" t="n">
        <v>2453</v>
      </c>
      <c r="E9" s="10" t="n">
        <f aca="false">C9*D9</f>
        <v>0</v>
      </c>
    </row>
    <row r="10" customFormat="false" ht="15" hidden="false" customHeight="false" outlineLevel="0" collapsed="false">
      <c r="B10" s="9" t="s">
        <v>150</v>
      </c>
      <c r="C10" s="30" t="n">
        <v>0</v>
      </c>
      <c r="D10" s="40" t="n">
        <v>1920</v>
      </c>
      <c r="E10" s="10" t="n">
        <f aca="false">C10*D10</f>
        <v>0</v>
      </c>
    </row>
    <row r="11" customFormat="false" ht="15" hidden="false" customHeight="false" outlineLevel="0" collapsed="false">
      <c r="B11" s="9" t="s">
        <v>151</v>
      </c>
      <c r="C11" s="30" t="n">
        <v>0</v>
      </c>
      <c r="D11" s="40" t="n">
        <v>2688</v>
      </c>
      <c r="E11" s="10" t="n">
        <f aca="false">C11*D11</f>
        <v>0</v>
      </c>
    </row>
    <row r="12" customFormat="false" ht="15" hidden="false" customHeight="false" outlineLevel="0" collapsed="false">
      <c r="B12" s="9" t="s">
        <v>152</v>
      </c>
      <c r="C12" s="30" t="n">
        <v>2</v>
      </c>
      <c r="D12" s="40" t="n">
        <v>2184</v>
      </c>
      <c r="E12" s="10" t="n">
        <f aca="false">C12*D12</f>
        <v>4368</v>
      </c>
    </row>
    <row r="13" customFormat="false" ht="15" hidden="false" customHeight="false" outlineLevel="0" collapsed="false">
      <c r="B13" s="9" t="s">
        <v>153</v>
      </c>
      <c r="C13" s="30" t="n">
        <v>0</v>
      </c>
      <c r="D13" s="40" t="n">
        <v>3058</v>
      </c>
      <c r="E13" s="10" t="n">
        <f aca="false">C13*D13</f>
        <v>0</v>
      </c>
    </row>
    <row r="14" customFormat="false" ht="15" hidden="false" customHeight="false" outlineLevel="0" collapsed="false">
      <c r="B14" s="9" t="s">
        <v>154</v>
      </c>
      <c r="C14" s="30" t="n">
        <v>0</v>
      </c>
      <c r="D14" s="40" t="n">
        <v>2784</v>
      </c>
      <c r="E14" s="10" t="n">
        <f aca="false">C14*D14</f>
        <v>0</v>
      </c>
    </row>
    <row r="15" customFormat="false" ht="15" hidden="false" customHeight="false" outlineLevel="0" collapsed="false">
      <c r="B15" s="9" t="s">
        <v>155</v>
      </c>
      <c r="C15" s="30" t="n">
        <v>0</v>
      </c>
      <c r="D15" s="40" t="n">
        <v>3898</v>
      </c>
      <c r="E15" s="10" t="n">
        <f aca="false">C15*D15</f>
        <v>0</v>
      </c>
    </row>
    <row r="16" customFormat="false" ht="15" hidden="false" customHeight="false" outlineLevel="0" collapsed="false">
      <c r="B16" s="12" t="s">
        <v>156</v>
      </c>
      <c r="C16" s="41" t="n">
        <f aca="false">SUM(C6:C15)</f>
        <v>10</v>
      </c>
      <c r="D16" s="42"/>
      <c r="E16" s="13" t="n">
        <f aca="false">SUM(E6:E15)</f>
        <v>13214</v>
      </c>
    </row>
    <row r="17" customFormat="false" ht="15" hidden="false" customHeight="false" outlineLevel="0" collapsed="false">
      <c r="B17" s="24" t="s">
        <v>157</v>
      </c>
      <c r="E17" s="10" t="n">
        <f aca="false">E16*Parámetros!$C$8</f>
        <v>19821000</v>
      </c>
    </row>
    <row r="19" customFormat="false" ht="15.75" hidden="false" customHeight="true" outlineLevel="0" collapsed="false">
      <c r="B19" s="29" t="s">
        <v>158</v>
      </c>
    </row>
    <row r="20" customFormat="false" ht="15" hidden="false" customHeight="false" outlineLevel="0" collapsed="false">
      <c r="B20" s="8" t="s">
        <v>159</v>
      </c>
      <c r="C20" s="8" t="s">
        <v>160</v>
      </c>
      <c r="D20" s="8" t="s">
        <v>161</v>
      </c>
      <c r="E20" s="8" t="s">
        <v>162</v>
      </c>
    </row>
    <row r="21" customFormat="false" ht="15" hidden="false" customHeight="false" outlineLevel="0" collapsed="false">
      <c r="B21" s="9" t="s">
        <v>129</v>
      </c>
      <c r="C21" s="30" t="n">
        <v>8</v>
      </c>
      <c r="D21" s="40" t="n">
        <v>112</v>
      </c>
      <c r="E21" s="10" t="n">
        <f aca="false">C21*D21</f>
        <v>896</v>
      </c>
    </row>
    <row r="22" customFormat="false" ht="15" hidden="false" customHeight="false" outlineLevel="0" collapsed="false">
      <c r="B22" s="9" t="s">
        <v>163</v>
      </c>
      <c r="C22" s="30" t="n">
        <v>0</v>
      </c>
      <c r="D22" s="40" t="n">
        <v>88</v>
      </c>
      <c r="E22" s="10" t="n">
        <f aca="false">C22*D22</f>
        <v>0</v>
      </c>
    </row>
    <row r="23" customFormat="false" ht="15" hidden="false" customHeight="false" outlineLevel="0" collapsed="false">
      <c r="B23" s="9" t="s">
        <v>164</v>
      </c>
      <c r="C23" s="30" t="n">
        <v>0</v>
      </c>
      <c r="D23" s="40" t="n">
        <v>120</v>
      </c>
      <c r="E23" s="10" t="n">
        <f aca="false">C23*D23</f>
        <v>0</v>
      </c>
    </row>
    <row r="24" customFormat="false" ht="15" hidden="false" customHeight="false" outlineLevel="0" collapsed="false">
      <c r="B24" s="9" t="s">
        <v>165</v>
      </c>
      <c r="C24" s="30" t="n">
        <v>5</v>
      </c>
      <c r="D24" s="40" t="n">
        <v>292</v>
      </c>
      <c r="E24" s="10" t="n">
        <f aca="false">C24*D24</f>
        <v>1460</v>
      </c>
    </row>
    <row r="25" customFormat="false" ht="15" hidden="false" customHeight="false" outlineLevel="0" collapsed="false">
      <c r="B25" s="9" t="s">
        <v>166</v>
      </c>
      <c r="C25" s="30" t="n">
        <v>3</v>
      </c>
      <c r="D25" s="40" t="n">
        <v>364</v>
      </c>
      <c r="E25" s="10" t="n">
        <f aca="false">C25*D25</f>
        <v>1092</v>
      </c>
    </row>
    <row r="26" customFormat="false" ht="15" hidden="false" customHeight="false" outlineLevel="0" collapsed="false">
      <c r="B26" s="12" t="s">
        <v>167</v>
      </c>
      <c r="C26" s="41" t="n">
        <f aca="false">SUM(C21:C25)</f>
        <v>16</v>
      </c>
      <c r="D26" s="42"/>
      <c r="E26" s="13" t="n">
        <f aca="false">SUM(E21:E25)</f>
        <v>3448</v>
      </c>
    </row>
    <row r="28" customFormat="false" ht="15" hidden="false" customHeight="false" outlineLevel="0" collapsed="false">
      <c r="B28" s="28" t="s">
        <v>168</v>
      </c>
    </row>
  </sheetData>
  <mergeCells count="2">
    <mergeCell ref="B1:F1"/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.57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38"/>
    <col collapsed="false" customWidth="true" hidden="false" outlineLevel="0" max="6" min="6" style="1" width="10"/>
    <col collapsed="false" customWidth="true" hidden="false" outlineLevel="0" max="7" min="7" style="1" width="36"/>
  </cols>
  <sheetData>
    <row r="1" customFormat="false" ht="24" hidden="false" customHeight="true" outlineLevel="0" collapsed="false">
      <c r="B1" s="2" t="s">
        <v>169</v>
      </c>
      <c r="C1" s="2"/>
      <c r="D1" s="2"/>
      <c r="E1" s="2"/>
    </row>
    <row r="2" customFormat="false" ht="15" hidden="false" customHeight="false" outlineLevel="0" collapsed="false">
      <c r="B2" s="3" t="s">
        <v>170</v>
      </c>
      <c r="C2" s="3"/>
      <c r="D2" s="3"/>
      <c r="E2" s="3"/>
    </row>
    <row r="3" customFormat="false" ht="15" hidden="false" customHeight="false" outlineLevel="0" collapsed="false">
      <c r="B3" s="8" t="s">
        <v>9</v>
      </c>
      <c r="C3" s="8" t="s">
        <v>63</v>
      </c>
      <c r="D3" s="8" t="s">
        <v>105</v>
      </c>
      <c r="E3" s="8" t="s">
        <v>171</v>
      </c>
    </row>
    <row r="4" customFormat="false" ht="15" hidden="false" customHeight="false" outlineLevel="0" collapsed="false">
      <c r="B4" s="9" t="s">
        <v>172</v>
      </c>
      <c r="C4" s="37" t="n">
        <f aca="false">Empleados!$E$19</f>
        <v>0</v>
      </c>
      <c r="D4" s="37" t="n">
        <f aca="false">IF(C4=0,0,C4/Parámetros!$C$8)</f>
        <v>0</v>
      </c>
      <c r="E4" s="28" t="s">
        <v>173</v>
      </c>
    </row>
    <row r="5" customFormat="false" ht="15" hidden="false" customHeight="false" outlineLevel="0" collapsed="false">
      <c r="B5" s="9" t="s">
        <v>174</v>
      </c>
      <c r="C5" s="25" t="n">
        <v>0</v>
      </c>
      <c r="D5" s="37" t="n">
        <f aca="false">IF(C5=0,0,C5/Parámetros!$C$8)</f>
        <v>0</v>
      </c>
    </row>
    <row r="6" customFormat="false" ht="15" hidden="false" customHeight="false" outlineLevel="0" collapsed="false">
      <c r="B6" s="9" t="s">
        <v>175</v>
      </c>
      <c r="C6" s="37" t="n">
        <f aca="false">$F$6*SUMIFS('Caja Diaria'!$F$4:$F$403,'Caja Diaria'!$B$4:$B$403,"Ingreso",'Caja Diaria'!$C$4:$C$403,"IV + Terapias Biológicas")</f>
        <v>56250</v>
      </c>
      <c r="D6" s="37" t="n">
        <f aca="false">IF(C6=0,0,C6/Parámetros!$C$8)</f>
        <v>37.5</v>
      </c>
      <c r="E6" s="28" t="s">
        <v>176</v>
      </c>
      <c r="F6" s="23" t="n">
        <v>0.15</v>
      </c>
      <c r="G6" s="28" t="s">
        <v>177</v>
      </c>
    </row>
    <row r="7" customFormat="false" ht="15" hidden="false" customHeight="false" outlineLevel="0" collapsed="false">
      <c r="B7" s="9" t="s">
        <v>178</v>
      </c>
      <c r="C7" s="37" t="n">
        <f aca="false">$F$7*SUMIFS('Caja Diaria'!$F$4:$F$403,'Caja Diaria'!$B$4:$B$403,"Ingreso",'Caja Diaria'!$C$4:$C$403,"IV + Terapias Biológicas")</f>
        <v>112500</v>
      </c>
      <c r="D7" s="37" t="n">
        <f aca="false">IF(C7=0,0,C7/Parámetros!$C$8)</f>
        <v>75</v>
      </c>
      <c r="E7" s="28" t="s">
        <v>179</v>
      </c>
      <c r="F7" s="23" t="n">
        <v>0.3</v>
      </c>
      <c r="G7" s="28" t="s">
        <v>180</v>
      </c>
    </row>
    <row r="8" customFormat="false" ht="15" hidden="false" customHeight="false" outlineLevel="0" collapsed="false">
      <c r="B8" s="9" t="s">
        <v>181</v>
      </c>
      <c r="C8" s="25" t="n">
        <v>7500000</v>
      </c>
      <c r="D8" s="37" t="n">
        <f aca="false">IF(C8=0,0,C8/Parámetros!$C$8)</f>
        <v>5000</v>
      </c>
      <c r="E8" s="28" t="s">
        <v>182</v>
      </c>
    </row>
    <row r="9" customFormat="false" ht="15" hidden="false" customHeight="false" outlineLevel="0" collapsed="false">
      <c r="B9" s="9" t="s">
        <v>183</v>
      </c>
      <c r="C9" s="25" t="n">
        <v>1200000</v>
      </c>
      <c r="D9" s="37" t="n">
        <f aca="false">IF(C9=0,0,C9/Parámetros!$C$8)</f>
        <v>800</v>
      </c>
    </row>
    <row r="10" customFormat="false" ht="15" hidden="false" customHeight="false" outlineLevel="0" collapsed="false">
      <c r="B10" s="9" t="s">
        <v>184</v>
      </c>
      <c r="C10" s="25" t="n">
        <v>2000000</v>
      </c>
      <c r="D10" s="37" t="n">
        <f aca="false">IF(C10=0,0,C10/Parámetros!$C$8)</f>
        <v>1333.33333333333</v>
      </c>
    </row>
    <row r="11" customFormat="false" ht="15" hidden="false" customHeight="false" outlineLevel="0" collapsed="false">
      <c r="B11" s="9" t="s">
        <v>185</v>
      </c>
      <c r="C11" s="25" t="n">
        <v>30000</v>
      </c>
      <c r="D11" s="37" t="n">
        <f aca="false">IF(C11=0,0,C11/Parámetros!$C$8)</f>
        <v>20</v>
      </c>
    </row>
    <row r="12" customFormat="false" ht="15" hidden="false" customHeight="false" outlineLevel="0" collapsed="false">
      <c r="B12" s="9" t="s">
        <v>186</v>
      </c>
      <c r="C12" s="25" t="n">
        <v>300000</v>
      </c>
      <c r="D12" s="37" t="n">
        <f aca="false">IF(C12=0,0,C12/Parámetros!$C$8)</f>
        <v>200</v>
      </c>
    </row>
    <row r="13" customFormat="false" ht="15" hidden="false" customHeight="false" outlineLevel="0" collapsed="false">
      <c r="B13" s="9" t="s">
        <v>187</v>
      </c>
      <c r="C13" s="25" t="n">
        <v>0</v>
      </c>
      <c r="D13" s="37" t="n">
        <f aca="false">IF(C13=0,0,C13/Parámetros!$C$8)</f>
        <v>0</v>
      </c>
    </row>
    <row r="14" customFormat="false" ht="15" hidden="false" customHeight="false" outlineLevel="0" collapsed="false">
      <c r="B14" s="9" t="s">
        <v>188</v>
      </c>
      <c r="C14" s="25" t="n">
        <v>700000</v>
      </c>
      <c r="D14" s="37" t="n">
        <f aca="false">IF(C14=0,0,C14/Parámetros!$C$8)</f>
        <v>466.666666666667</v>
      </c>
    </row>
    <row r="15" customFormat="false" ht="15" hidden="false" customHeight="false" outlineLevel="0" collapsed="false">
      <c r="B15" s="9" t="s">
        <v>189</v>
      </c>
      <c r="C15" s="25" t="n">
        <v>0</v>
      </c>
      <c r="D15" s="37" t="n">
        <f aca="false">IF(C15=0,0,C15/Parámetros!$C$8)</f>
        <v>0</v>
      </c>
    </row>
    <row r="16" customFormat="false" ht="15" hidden="false" customHeight="false" outlineLevel="0" collapsed="false">
      <c r="B16" s="9" t="s">
        <v>190</v>
      </c>
      <c r="C16" s="25" t="n">
        <v>500000</v>
      </c>
      <c r="D16" s="37" t="n">
        <f aca="false">IF(C16=0,0,C16/Parámetros!$C$8)</f>
        <v>333.333333333333</v>
      </c>
    </row>
    <row r="17" customFormat="false" ht="15" hidden="false" customHeight="false" outlineLevel="0" collapsed="false">
      <c r="B17" s="9" t="s">
        <v>191</v>
      </c>
      <c r="C17" s="25" t="n">
        <v>0</v>
      </c>
      <c r="D17" s="37" t="n">
        <f aca="false">IF(C17=0,0,C17/Parámetros!$C$8)</f>
        <v>0</v>
      </c>
      <c r="E17" s="28" t="s">
        <v>192</v>
      </c>
    </row>
    <row r="18" customFormat="false" ht="15" hidden="false" customHeight="false" outlineLevel="0" collapsed="false">
      <c r="B18" s="9" t="s">
        <v>193</v>
      </c>
      <c r="C18" s="25" t="n">
        <v>0</v>
      </c>
      <c r="D18" s="37" t="n">
        <f aca="false">IF(C18=0,0,C18/Parámetros!$C$8)</f>
        <v>0</v>
      </c>
      <c r="E18" s="28" t="s">
        <v>194</v>
      </c>
    </row>
    <row r="19" customFormat="false" ht="15" hidden="false" customHeight="false" outlineLevel="0" collapsed="false">
      <c r="B19" s="9" t="s">
        <v>195</v>
      </c>
      <c r="C19" s="25" t="n">
        <v>0</v>
      </c>
      <c r="D19" s="37" t="n">
        <f aca="false">IF(C19=0,0,C19/Parámetros!$C$8)</f>
        <v>0</v>
      </c>
    </row>
    <row r="20" customFormat="false" ht="15" hidden="false" customHeight="false" outlineLevel="0" collapsed="false">
      <c r="B20" s="9" t="s">
        <v>196</v>
      </c>
      <c r="C20" s="37" t="n">
        <f aca="false">'Gastos Varios'!$D$45</f>
        <v>0</v>
      </c>
      <c r="D20" s="37" t="n">
        <f aca="false">IF(C20=0,0,C20/Parámetros!$C$8)</f>
        <v>0</v>
      </c>
      <c r="E20" s="28" t="s">
        <v>197</v>
      </c>
    </row>
    <row r="21" customFormat="false" ht="15" hidden="false" customHeight="false" outlineLevel="0" collapsed="false">
      <c r="B21" s="12" t="s">
        <v>198</v>
      </c>
      <c r="C21" s="13" t="n">
        <f aca="false">SUM(C4:C20)</f>
        <v>12398750</v>
      </c>
      <c r="D21" s="13" t="n">
        <f aca="false">SUM(D4:D20)</f>
        <v>8265.83333333333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4" min="3" style="1" width="15"/>
    <col collapsed="false" customWidth="true" hidden="false" outlineLevel="0" max="8" min="5" style="1" width="14"/>
    <col collapsed="false" customWidth="true" hidden="false" outlineLevel="0" max="9" min="9" style="1" width="13"/>
  </cols>
  <sheetData>
    <row r="1" customFormat="false" ht="24" hidden="false" customHeight="true" outlineLevel="0" collapsed="false">
      <c r="B1" s="2" t="s">
        <v>199</v>
      </c>
      <c r="C1" s="2"/>
      <c r="D1" s="2"/>
      <c r="E1" s="2"/>
      <c r="F1" s="2"/>
    </row>
    <row r="2" customFormat="false" ht="15" hidden="false" customHeight="false" outlineLevel="0" collapsed="false">
      <c r="B2" s="3" t="s">
        <v>200</v>
      </c>
      <c r="C2" s="3"/>
      <c r="D2" s="3"/>
      <c r="E2" s="3"/>
      <c r="F2" s="3"/>
    </row>
    <row r="4" customFormat="false" ht="15.75" hidden="false" customHeight="true" outlineLevel="0" collapsed="false">
      <c r="B4" s="29" t="s">
        <v>201</v>
      </c>
    </row>
    <row r="5" customFormat="false" ht="15" hidden="false" customHeight="false" outlineLevel="0" collapsed="false">
      <c r="B5" s="8" t="s">
        <v>62</v>
      </c>
      <c r="C5" s="8" t="s">
        <v>63</v>
      </c>
      <c r="D5" s="8" t="s">
        <v>105</v>
      </c>
      <c r="E5" s="8" t="s">
        <v>13</v>
      </c>
    </row>
    <row r="6" customFormat="false" ht="15" hidden="false" customHeight="false" outlineLevel="0" collapsed="false">
      <c r="B6" s="9" t="s">
        <v>64</v>
      </c>
      <c r="C6" s="10" t="n">
        <f aca="false">SUMIFS('Caja Diaria'!$F$4:$F$403,'Caja Diaria'!$B$4:$B$403,"Ingreso",'Caja Diaria'!$E$4:$E$403,"Efectivo")</f>
        <v>543000</v>
      </c>
      <c r="D6" s="10" t="n">
        <f aca="false">C6/Parámetros!$C$8</f>
        <v>362</v>
      </c>
      <c r="E6" s="11" t="n">
        <f aca="false">IF($C$11=0,0,C6/$C$11)</f>
        <v>0.093035209457723</v>
      </c>
    </row>
    <row r="7" customFormat="false" ht="15" hidden="false" customHeight="false" outlineLevel="0" collapsed="false">
      <c r="B7" s="9" t="s">
        <v>65</v>
      </c>
      <c r="C7" s="10" t="n">
        <f aca="false">SUMIFS('Caja Diaria'!$F$4:$F$403,'Caja Diaria'!$B$4:$B$403,"Ingreso",'Caja Diaria'!$E$4:$E$403,"Tarjeta débito")</f>
        <v>0</v>
      </c>
      <c r="D7" s="10" t="n">
        <f aca="false">C7/Parámetros!$C$8</f>
        <v>0</v>
      </c>
      <c r="E7" s="11" t="n">
        <f aca="false">IF($C$11=0,0,C7/$C$11)</f>
        <v>0</v>
      </c>
    </row>
    <row r="8" customFormat="false" ht="15" hidden="false" customHeight="false" outlineLevel="0" collapsed="false">
      <c r="B8" s="9" t="s">
        <v>66</v>
      </c>
      <c r="C8" s="10" t="n">
        <f aca="false">SUMIFS('Caja Diaria'!$F$4:$F$403,'Caja Diaria'!$B$4:$B$403,"Ingreso",'Caja Diaria'!$E$4:$E$403,"Tarjeta crédito")</f>
        <v>2665500</v>
      </c>
      <c r="D8" s="10" t="n">
        <f aca="false">C8/Parámetros!$C$8</f>
        <v>1777</v>
      </c>
      <c r="E8" s="11" t="n">
        <f aca="false">IF($C$11=0,0,C8/$C$11)</f>
        <v>0.456694937034181</v>
      </c>
    </row>
    <row r="9" customFormat="false" ht="15" hidden="false" customHeight="false" outlineLevel="0" collapsed="false">
      <c r="B9" s="9" t="s">
        <v>67</v>
      </c>
      <c r="C9" s="10" t="n">
        <f aca="false">SUMIFS('Caja Diaria'!$F$4:$F$403,'Caja Diaria'!$B$4:$B$403,"Ingreso",'Caja Diaria'!$E$4:$E$403,"Transferencia")</f>
        <v>0</v>
      </c>
      <c r="D9" s="10" t="n">
        <f aca="false">C9/Parámetros!$C$8</f>
        <v>0</v>
      </c>
      <c r="E9" s="11" t="n">
        <f aca="false">IF($C$11=0,0,C9/$C$11)</f>
        <v>0</v>
      </c>
    </row>
    <row r="10" customFormat="false" ht="15" hidden="false" customHeight="false" outlineLevel="0" collapsed="false">
      <c r="B10" s="9" t="s">
        <v>68</v>
      </c>
      <c r="C10" s="10" t="n">
        <f aca="false">SUMIFS('Caja Diaria'!$F$4:$F$403,'Caja Diaria'!$B$4:$B$403,"Ingreso",'Caja Diaria'!$E$4:$E$403,"MercadoPago")</f>
        <v>2628000</v>
      </c>
      <c r="D10" s="10" t="n">
        <f aca="false">C10/Parámetros!$C$8</f>
        <v>1752</v>
      </c>
      <c r="E10" s="11" t="n">
        <f aca="false">IF($C$11=0,0,C10/$C$11)</f>
        <v>0.450269853508096</v>
      </c>
    </row>
    <row r="11" customFormat="false" ht="15" hidden="false" customHeight="false" outlineLevel="0" collapsed="false">
      <c r="B11" s="12" t="s">
        <v>20</v>
      </c>
      <c r="C11" s="13" t="n">
        <f aca="false">SUM(C6:C10)</f>
        <v>5836500</v>
      </c>
      <c r="D11" s="13" t="n">
        <f aca="false">SUM(D6:D10)</f>
        <v>3891</v>
      </c>
      <c r="E11" s="14" t="n">
        <f aca="false">SUM(E6:E10)</f>
        <v>1</v>
      </c>
    </row>
    <row r="14" customFormat="false" ht="15.75" hidden="false" customHeight="true" outlineLevel="0" collapsed="false">
      <c r="B14" s="7" t="s">
        <v>202</v>
      </c>
      <c r="C14" s="7"/>
      <c r="D14" s="7"/>
      <c r="E14" s="7"/>
      <c r="F14" s="7"/>
      <c r="G14" s="7"/>
      <c r="H14" s="7"/>
      <c r="I14" s="7"/>
    </row>
    <row r="15" customFormat="false" ht="30" hidden="false" customHeight="true" outlineLevel="0" collapsed="false">
      <c r="B15" s="8" t="s">
        <v>133</v>
      </c>
      <c r="C15" s="8" t="s">
        <v>64</v>
      </c>
      <c r="D15" s="8" t="s">
        <v>65</v>
      </c>
      <c r="E15" s="8" t="s">
        <v>66</v>
      </c>
      <c r="F15" s="8" t="s">
        <v>67</v>
      </c>
      <c r="G15" s="8" t="s">
        <v>68</v>
      </c>
      <c r="H15" s="8" t="s">
        <v>203</v>
      </c>
      <c r="I15" s="8" t="s">
        <v>204</v>
      </c>
    </row>
    <row r="16" customFormat="false" ht="15" hidden="false" customHeight="false" outlineLevel="0" collapsed="false">
      <c r="B16" s="38" t="n">
        <f aca="false">'Resumen Diario'!$A$4</f>
        <v>46235</v>
      </c>
      <c r="C16" s="10" t="n">
        <f aca="false">SUMIFS('Caja Diaria'!$F$4:$F$403,'Caja Diaria'!$B$4:$B$403,"Ingreso",'Caja Diaria'!$E$4:$E$403,"Efectivo",'Caja Diaria'!$A$4:$A$403,'Resumen Diario'!$A$4)</f>
        <v>0</v>
      </c>
      <c r="D16" s="10" t="n">
        <f aca="false">SUMIFS('Caja Diaria'!$F$4:$F$403,'Caja Diaria'!$B$4:$B$403,"Ingreso",'Caja Diaria'!$E$4:$E$403,"Tarjeta débito",'Caja Diaria'!$A$4:$A$403,'Resumen Diario'!$A$4)</f>
        <v>0</v>
      </c>
      <c r="E16" s="10" t="n">
        <f aca="false">SUMIFS('Caja Diaria'!$F$4:$F$403,'Caja Diaria'!$B$4:$B$403,"Ingreso",'Caja Diaria'!$E$4:$E$403,"Tarjeta crédito",'Caja Diaria'!$A$4:$A$403,'Resumen Diario'!$A$4)</f>
        <v>0</v>
      </c>
      <c r="F16" s="10" t="n">
        <f aca="false">SUMIFS('Caja Diaria'!$F$4:$F$403,'Caja Diaria'!$B$4:$B$403,"Ingreso",'Caja Diaria'!$E$4:$E$403,"Transferencia",'Caja Diaria'!$A$4:$A$403,'Resumen Diario'!$A$4)</f>
        <v>0</v>
      </c>
      <c r="G16" s="10" t="n">
        <f aca="false">SUMIFS('Caja Diaria'!$F$4:$F$403,'Caja Diaria'!$B$4:$B$403,"Ingreso",'Caja Diaria'!$E$4:$E$403,"MercadoPago",'Caja Diaria'!$A$4:$A$403,'Resumen Diario'!$A$4)</f>
        <v>0</v>
      </c>
      <c r="H16" s="39" t="n">
        <f aca="false">SUM(C16:G16)</f>
        <v>0</v>
      </c>
      <c r="I16" s="11" t="n">
        <f aca="false">IF(H16=0,0,C16/H16)</f>
        <v>0</v>
      </c>
    </row>
    <row r="17" customFormat="false" ht="15" hidden="false" customHeight="false" outlineLevel="0" collapsed="false">
      <c r="B17" s="38" t="n">
        <f aca="false">'Resumen Diario'!$A$5</f>
        <v>46236</v>
      </c>
      <c r="C17" s="10" t="n">
        <f aca="false">SUMIFS('Caja Diaria'!$F$4:$F$403,'Caja Diaria'!$B$4:$B$403,"Ingreso",'Caja Diaria'!$E$4:$E$403,"Efectivo",'Caja Diaria'!$A$4:$A$403,'Resumen Diario'!$A$5)</f>
        <v>0</v>
      </c>
      <c r="D17" s="10" t="n">
        <f aca="false">SUMIFS('Caja Diaria'!$F$4:$F$403,'Caja Diaria'!$B$4:$B$403,"Ingreso",'Caja Diaria'!$E$4:$E$403,"Tarjeta débito",'Caja Diaria'!$A$4:$A$403,'Resumen Diario'!$A$5)</f>
        <v>0</v>
      </c>
      <c r="E17" s="10" t="n">
        <f aca="false">SUMIFS('Caja Diaria'!$F$4:$F$403,'Caja Diaria'!$B$4:$B$403,"Ingreso",'Caja Diaria'!$E$4:$E$403,"Tarjeta crédito",'Caja Diaria'!$A$4:$A$403,'Resumen Diario'!$A$5)</f>
        <v>0</v>
      </c>
      <c r="F17" s="10" t="n">
        <f aca="false">SUMIFS('Caja Diaria'!$F$4:$F$403,'Caja Diaria'!$B$4:$B$403,"Ingreso",'Caja Diaria'!$E$4:$E$403,"Transferencia",'Caja Diaria'!$A$4:$A$403,'Resumen Diario'!$A$5)</f>
        <v>0</v>
      </c>
      <c r="G17" s="10" t="n">
        <f aca="false">SUMIFS('Caja Diaria'!$F$4:$F$403,'Caja Diaria'!$B$4:$B$403,"Ingreso",'Caja Diaria'!$E$4:$E$403,"MercadoPago",'Caja Diaria'!$A$4:$A$403,'Resumen Diario'!$A$5)</f>
        <v>0</v>
      </c>
      <c r="H17" s="39" t="n">
        <f aca="false">SUM(C17:G17)</f>
        <v>0</v>
      </c>
      <c r="I17" s="11" t="n">
        <f aca="false">IF(H17=0,0,C17/H17)</f>
        <v>0</v>
      </c>
    </row>
    <row r="18" customFormat="false" ht="15" hidden="false" customHeight="false" outlineLevel="0" collapsed="false">
      <c r="B18" s="38" t="n">
        <f aca="false">'Resumen Diario'!$A$6</f>
        <v>46237</v>
      </c>
      <c r="C18" s="10" t="n">
        <f aca="false">SUMIFS('Caja Diaria'!$F$4:$F$403,'Caja Diaria'!$B$4:$B$403,"Ingreso",'Caja Diaria'!$E$4:$E$403,"Efectivo",'Caja Diaria'!$A$4:$A$403,'Resumen Diario'!$A$6)</f>
        <v>375000</v>
      </c>
      <c r="D18" s="10" t="n">
        <f aca="false">SUMIFS('Caja Diaria'!$F$4:$F$403,'Caja Diaria'!$B$4:$B$403,"Ingreso",'Caja Diaria'!$E$4:$E$403,"Tarjeta débito",'Caja Diaria'!$A$4:$A$403,'Resumen Diario'!$A$6)</f>
        <v>0</v>
      </c>
      <c r="E18" s="10" t="n">
        <f aca="false">SUMIFS('Caja Diaria'!$F$4:$F$403,'Caja Diaria'!$B$4:$B$403,"Ingreso",'Caja Diaria'!$E$4:$E$403,"Tarjeta crédito",'Caja Diaria'!$A$4:$A$403,'Resumen Diario'!$A$6)</f>
        <v>438000</v>
      </c>
      <c r="F18" s="10" t="n">
        <f aca="false">SUMIFS('Caja Diaria'!$F$4:$F$403,'Caja Diaria'!$B$4:$B$403,"Ingreso",'Caja Diaria'!$E$4:$E$403,"Transferencia",'Caja Diaria'!$A$4:$A$403,'Resumen Diario'!$A$6)</f>
        <v>0</v>
      </c>
      <c r="G18" s="10" t="n">
        <f aca="false">SUMIFS('Caja Diaria'!$F$4:$F$403,'Caja Diaria'!$B$4:$B$403,"Ingreso",'Caja Diaria'!$E$4:$E$403,"MercadoPago",'Caja Diaria'!$A$4:$A$403,'Resumen Diario'!$A$6)</f>
        <v>2628000</v>
      </c>
      <c r="H18" s="39" t="n">
        <f aca="false">SUM(C18:G18)</f>
        <v>3441000</v>
      </c>
      <c r="I18" s="11" t="n">
        <f aca="false">IF(H18=0,0,C18/H18)</f>
        <v>0.108979947689625</v>
      </c>
    </row>
    <row r="19" customFormat="false" ht="15" hidden="false" customHeight="false" outlineLevel="0" collapsed="false">
      <c r="B19" s="38" t="n">
        <f aca="false">'Resumen Diario'!$A$7</f>
        <v>46238</v>
      </c>
      <c r="C19" s="10" t="n">
        <f aca="false">SUMIFS('Caja Diaria'!$F$4:$F$403,'Caja Diaria'!$B$4:$B$403,"Ingreso",'Caja Diaria'!$E$4:$E$403,"Efectivo",'Caja Diaria'!$A$4:$A$403,'Resumen Diario'!$A$7)</f>
        <v>168000</v>
      </c>
      <c r="D19" s="10" t="n">
        <f aca="false">SUMIFS('Caja Diaria'!$F$4:$F$403,'Caja Diaria'!$B$4:$B$403,"Ingreso",'Caja Diaria'!$E$4:$E$403,"Tarjeta débito",'Caja Diaria'!$A$4:$A$403,'Resumen Diario'!$A$7)</f>
        <v>0</v>
      </c>
      <c r="E19" s="10" t="n">
        <f aca="false">SUMIFS('Caja Diaria'!$F$4:$F$403,'Caja Diaria'!$B$4:$B$403,"Ingreso",'Caja Diaria'!$E$4:$E$403,"Tarjeta crédito",'Caja Diaria'!$A$4:$A$403,'Resumen Diario'!$A$7)</f>
        <v>2227500</v>
      </c>
      <c r="F19" s="10" t="n">
        <f aca="false">SUMIFS('Caja Diaria'!$F$4:$F$403,'Caja Diaria'!$B$4:$B$403,"Ingreso",'Caja Diaria'!$E$4:$E$403,"Transferencia",'Caja Diaria'!$A$4:$A$403,'Resumen Diario'!$A$7)</f>
        <v>0</v>
      </c>
      <c r="G19" s="10" t="n">
        <f aca="false">SUMIFS('Caja Diaria'!$F$4:$F$403,'Caja Diaria'!$B$4:$B$403,"Ingreso",'Caja Diaria'!$E$4:$E$403,"MercadoPago",'Caja Diaria'!$A$4:$A$403,'Resumen Diario'!$A$7)</f>
        <v>0</v>
      </c>
      <c r="H19" s="39" t="n">
        <f aca="false">SUM(C19:G19)</f>
        <v>2395500</v>
      </c>
      <c r="I19" s="11" t="n">
        <f aca="false">IF(H19=0,0,C19/H19)</f>
        <v>0.0701314965560426</v>
      </c>
    </row>
    <row r="20" customFormat="false" ht="15" hidden="false" customHeight="false" outlineLevel="0" collapsed="false">
      <c r="B20" s="38" t="n">
        <f aca="false">'Resumen Diario'!$A$8</f>
        <v>46239</v>
      </c>
      <c r="C20" s="10" t="n">
        <f aca="false">SUMIFS('Caja Diaria'!$F$4:$F$403,'Caja Diaria'!$B$4:$B$403,"Ingreso",'Caja Diaria'!$E$4:$E$403,"Efectivo",'Caja Diaria'!$A$4:$A$403,'Resumen Diario'!$A$8)</f>
        <v>0</v>
      </c>
      <c r="D20" s="10" t="n">
        <f aca="false">SUMIFS('Caja Diaria'!$F$4:$F$403,'Caja Diaria'!$B$4:$B$403,"Ingreso",'Caja Diaria'!$E$4:$E$403,"Tarjeta débito",'Caja Diaria'!$A$4:$A$403,'Resumen Diario'!$A$8)</f>
        <v>0</v>
      </c>
      <c r="E20" s="10" t="n">
        <f aca="false">SUMIFS('Caja Diaria'!$F$4:$F$403,'Caja Diaria'!$B$4:$B$403,"Ingreso",'Caja Diaria'!$E$4:$E$403,"Tarjeta crédito",'Caja Diaria'!$A$4:$A$403,'Resumen Diario'!$A$8)</f>
        <v>0</v>
      </c>
      <c r="F20" s="10" t="n">
        <f aca="false">SUMIFS('Caja Diaria'!$F$4:$F$403,'Caja Diaria'!$B$4:$B$403,"Ingreso",'Caja Diaria'!$E$4:$E$403,"Transferencia",'Caja Diaria'!$A$4:$A$403,'Resumen Diario'!$A$8)</f>
        <v>0</v>
      </c>
      <c r="G20" s="10" t="n">
        <f aca="false">SUMIFS('Caja Diaria'!$F$4:$F$403,'Caja Diaria'!$B$4:$B$403,"Ingreso",'Caja Diaria'!$E$4:$E$403,"MercadoPago",'Caja Diaria'!$A$4:$A$403,'Resumen Diario'!$A$8)</f>
        <v>0</v>
      </c>
      <c r="H20" s="39" t="n">
        <f aca="false">SUM(C20:G20)</f>
        <v>0</v>
      </c>
      <c r="I20" s="11" t="n">
        <f aca="false">IF(H20=0,0,C20/H20)</f>
        <v>0</v>
      </c>
    </row>
    <row r="21" customFormat="false" ht="15" hidden="false" customHeight="false" outlineLevel="0" collapsed="false">
      <c r="B21" s="38" t="n">
        <f aca="false">'Resumen Diario'!$A$9</f>
        <v>46240</v>
      </c>
      <c r="C21" s="10" t="n">
        <f aca="false">SUMIFS('Caja Diaria'!$F$4:$F$403,'Caja Diaria'!$B$4:$B$403,"Ingreso",'Caja Diaria'!$E$4:$E$403,"Efectivo",'Caja Diaria'!$A$4:$A$403,'Resumen Diario'!$A$9)</f>
        <v>0</v>
      </c>
      <c r="D21" s="10" t="n">
        <f aca="false">SUMIFS('Caja Diaria'!$F$4:$F$403,'Caja Diaria'!$B$4:$B$403,"Ingreso",'Caja Diaria'!$E$4:$E$403,"Tarjeta débito",'Caja Diaria'!$A$4:$A$403,'Resumen Diario'!$A$9)</f>
        <v>0</v>
      </c>
      <c r="E21" s="10" t="n">
        <f aca="false">SUMIFS('Caja Diaria'!$F$4:$F$403,'Caja Diaria'!$B$4:$B$403,"Ingreso",'Caja Diaria'!$E$4:$E$403,"Tarjeta crédito",'Caja Diaria'!$A$4:$A$403,'Resumen Diario'!$A$9)</f>
        <v>0</v>
      </c>
      <c r="F21" s="10" t="n">
        <f aca="false">SUMIFS('Caja Diaria'!$F$4:$F$403,'Caja Diaria'!$B$4:$B$403,"Ingreso",'Caja Diaria'!$E$4:$E$403,"Transferencia",'Caja Diaria'!$A$4:$A$403,'Resumen Diario'!$A$9)</f>
        <v>0</v>
      </c>
      <c r="G21" s="10" t="n">
        <f aca="false">SUMIFS('Caja Diaria'!$F$4:$F$403,'Caja Diaria'!$B$4:$B$403,"Ingreso",'Caja Diaria'!$E$4:$E$403,"MercadoPago",'Caja Diaria'!$A$4:$A$403,'Resumen Diario'!$A$9)</f>
        <v>0</v>
      </c>
      <c r="H21" s="39" t="n">
        <f aca="false">SUM(C21:G21)</f>
        <v>0</v>
      </c>
      <c r="I21" s="11" t="n">
        <f aca="false">IF(H21=0,0,C21/H21)</f>
        <v>0</v>
      </c>
    </row>
    <row r="22" customFormat="false" ht="15" hidden="false" customHeight="false" outlineLevel="0" collapsed="false">
      <c r="B22" s="38" t="n">
        <f aca="false">'Resumen Diario'!$A$10</f>
        <v>46241</v>
      </c>
      <c r="C22" s="10" t="n">
        <f aca="false">SUMIFS('Caja Diaria'!$F$4:$F$403,'Caja Diaria'!$B$4:$B$403,"Ingreso",'Caja Diaria'!$E$4:$E$403,"Efectivo",'Caja Diaria'!$A$4:$A$403,'Resumen Diario'!$A$10)</f>
        <v>0</v>
      </c>
      <c r="D22" s="10" t="n">
        <f aca="false">SUMIFS('Caja Diaria'!$F$4:$F$403,'Caja Diaria'!$B$4:$B$403,"Ingreso",'Caja Diaria'!$E$4:$E$403,"Tarjeta débito",'Caja Diaria'!$A$4:$A$403,'Resumen Diario'!$A$10)</f>
        <v>0</v>
      </c>
      <c r="E22" s="10" t="n">
        <f aca="false">SUMIFS('Caja Diaria'!$F$4:$F$403,'Caja Diaria'!$B$4:$B$403,"Ingreso",'Caja Diaria'!$E$4:$E$403,"Tarjeta crédito",'Caja Diaria'!$A$4:$A$403,'Resumen Diario'!$A$10)</f>
        <v>0</v>
      </c>
      <c r="F22" s="10" t="n">
        <f aca="false">SUMIFS('Caja Diaria'!$F$4:$F$403,'Caja Diaria'!$B$4:$B$403,"Ingreso",'Caja Diaria'!$E$4:$E$403,"Transferencia",'Caja Diaria'!$A$4:$A$403,'Resumen Diario'!$A$10)</f>
        <v>0</v>
      </c>
      <c r="G22" s="10" t="n">
        <f aca="false">SUMIFS('Caja Diaria'!$F$4:$F$403,'Caja Diaria'!$B$4:$B$403,"Ingreso",'Caja Diaria'!$E$4:$E$403,"MercadoPago",'Caja Diaria'!$A$4:$A$403,'Resumen Diario'!$A$10)</f>
        <v>0</v>
      </c>
      <c r="H22" s="39" t="n">
        <f aca="false">SUM(C22:G22)</f>
        <v>0</v>
      </c>
      <c r="I22" s="11" t="n">
        <f aca="false">IF(H22=0,0,C22/H22)</f>
        <v>0</v>
      </c>
    </row>
    <row r="23" customFormat="false" ht="15" hidden="false" customHeight="false" outlineLevel="0" collapsed="false">
      <c r="B23" s="38" t="n">
        <f aca="false">'Resumen Diario'!$A$11</f>
        <v>46242</v>
      </c>
      <c r="C23" s="10" t="n">
        <f aca="false">SUMIFS('Caja Diaria'!$F$4:$F$403,'Caja Diaria'!$B$4:$B$403,"Ingreso",'Caja Diaria'!$E$4:$E$403,"Efectivo",'Caja Diaria'!$A$4:$A$403,'Resumen Diario'!$A$11)</f>
        <v>0</v>
      </c>
      <c r="D23" s="10" t="n">
        <f aca="false">SUMIFS('Caja Diaria'!$F$4:$F$403,'Caja Diaria'!$B$4:$B$403,"Ingreso",'Caja Diaria'!$E$4:$E$403,"Tarjeta débito",'Caja Diaria'!$A$4:$A$403,'Resumen Diario'!$A$11)</f>
        <v>0</v>
      </c>
      <c r="E23" s="10" t="n">
        <f aca="false">SUMIFS('Caja Diaria'!$F$4:$F$403,'Caja Diaria'!$B$4:$B$403,"Ingreso",'Caja Diaria'!$E$4:$E$403,"Tarjeta crédito",'Caja Diaria'!$A$4:$A$403,'Resumen Diario'!$A$11)</f>
        <v>0</v>
      </c>
      <c r="F23" s="10" t="n">
        <f aca="false">SUMIFS('Caja Diaria'!$F$4:$F$403,'Caja Diaria'!$B$4:$B$403,"Ingreso",'Caja Diaria'!$E$4:$E$403,"Transferencia",'Caja Diaria'!$A$4:$A$403,'Resumen Diario'!$A$11)</f>
        <v>0</v>
      </c>
      <c r="G23" s="10" t="n">
        <f aca="false">SUMIFS('Caja Diaria'!$F$4:$F$403,'Caja Diaria'!$B$4:$B$403,"Ingreso",'Caja Diaria'!$E$4:$E$403,"MercadoPago",'Caja Diaria'!$A$4:$A$403,'Resumen Diario'!$A$11)</f>
        <v>0</v>
      </c>
      <c r="H23" s="39" t="n">
        <f aca="false">SUM(C23:G23)</f>
        <v>0</v>
      </c>
      <c r="I23" s="11" t="n">
        <f aca="false">IF(H23=0,0,C23/H23)</f>
        <v>0</v>
      </c>
    </row>
    <row r="24" customFormat="false" ht="15" hidden="false" customHeight="false" outlineLevel="0" collapsed="false">
      <c r="B24" s="38" t="n">
        <f aca="false">'Resumen Diario'!$A$12</f>
        <v>46243</v>
      </c>
      <c r="C24" s="10" t="n">
        <f aca="false">SUMIFS('Caja Diaria'!$F$4:$F$403,'Caja Diaria'!$B$4:$B$403,"Ingreso",'Caja Diaria'!$E$4:$E$403,"Efectivo",'Caja Diaria'!$A$4:$A$403,'Resumen Diario'!$A$12)</f>
        <v>0</v>
      </c>
      <c r="D24" s="10" t="n">
        <f aca="false">SUMIFS('Caja Diaria'!$F$4:$F$403,'Caja Diaria'!$B$4:$B$403,"Ingreso",'Caja Diaria'!$E$4:$E$403,"Tarjeta débito",'Caja Diaria'!$A$4:$A$403,'Resumen Diario'!$A$12)</f>
        <v>0</v>
      </c>
      <c r="E24" s="10" t="n">
        <f aca="false">SUMIFS('Caja Diaria'!$F$4:$F$403,'Caja Diaria'!$B$4:$B$403,"Ingreso",'Caja Diaria'!$E$4:$E$403,"Tarjeta crédito",'Caja Diaria'!$A$4:$A$403,'Resumen Diario'!$A$12)</f>
        <v>0</v>
      </c>
      <c r="F24" s="10" t="n">
        <f aca="false">SUMIFS('Caja Diaria'!$F$4:$F$403,'Caja Diaria'!$B$4:$B$403,"Ingreso",'Caja Diaria'!$E$4:$E$403,"Transferencia",'Caja Diaria'!$A$4:$A$403,'Resumen Diario'!$A$12)</f>
        <v>0</v>
      </c>
      <c r="G24" s="10" t="n">
        <f aca="false">SUMIFS('Caja Diaria'!$F$4:$F$403,'Caja Diaria'!$B$4:$B$403,"Ingreso",'Caja Diaria'!$E$4:$E$403,"MercadoPago",'Caja Diaria'!$A$4:$A$403,'Resumen Diario'!$A$12)</f>
        <v>0</v>
      </c>
      <c r="H24" s="39" t="n">
        <f aca="false">SUM(C24:G24)</f>
        <v>0</v>
      </c>
      <c r="I24" s="11" t="n">
        <f aca="false">IF(H24=0,0,C24/H24)</f>
        <v>0</v>
      </c>
    </row>
    <row r="25" customFormat="false" ht="15" hidden="false" customHeight="false" outlineLevel="0" collapsed="false">
      <c r="B25" s="38" t="n">
        <f aca="false">'Resumen Diario'!$A$13</f>
        <v>46244</v>
      </c>
      <c r="C25" s="10" t="n">
        <f aca="false">SUMIFS('Caja Diaria'!$F$4:$F$403,'Caja Diaria'!$B$4:$B$403,"Ingreso",'Caja Diaria'!$E$4:$E$403,"Efectivo",'Caja Diaria'!$A$4:$A$403,'Resumen Diario'!$A$13)</f>
        <v>0</v>
      </c>
      <c r="D25" s="10" t="n">
        <f aca="false">SUMIFS('Caja Diaria'!$F$4:$F$403,'Caja Diaria'!$B$4:$B$403,"Ingreso",'Caja Diaria'!$E$4:$E$403,"Tarjeta débito",'Caja Diaria'!$A$4:$A$403,'Resumen Diario'!$A$13)</f>
        <v>0</v>
      </c>
      <c r="E25" s="10" t="n">
        <f aca="false">SUMIFS('Caja Diaria'!$F$4:$F$403,'Caja Diaria'!$B$4:$B$403,"Ingreso",'Caja Diaria'!$E$4:$E$403,"Tarjeta crédito",'Caja Diaria'!$A$4:$A$403,'Resumen Diario'!$A$13)</f>
        <v>0</v>
      </c>
      <c r="F25" s="10" t="n">
        <f aca="false">SUMIFS('Caja Diaria'!$F$4:$F$403,'Caja Diaria'!$B$4:$B$403,"Ingreso",'Caja Diaria'!$E$4:$E$403,"Transferencia",'Caja Diaria'!$A$4:$A$403,'Resumen Diario'!$A$13)</f>
        <v>0</v>
      </c>
      <c r="G25" s="10" t="n">
        <f aca="false">SUMIFS('Caja Diaria'!$F$4:$F$403,'Caja Diaria'!$B$4:$B$403,"Ingreso",'Caja Diaria'!$E$4:$E$403,"MercadoPago",'Caja Diaria'!$A$4:$A$403,'Resumen Diario'!$A$13)</f>
        <v>0</v>
      </c>
      <c r="H25" s="39" t="n">
        <f aca="false">SUM(C25:G25)</f>
        <v>0</v>
      </c>
      <c r="I25" s="11" t="n">
        <f aca="false">IF(H25=0,0,C25/H25)</f>
        <v>0</v>
      </c>
    </row>
    <row r="26" customFormat="false" ht="15" hidden="false" customHeight="false" outlineLevel="0" collapsed="false">
      <c r="B26" s="38" t="n">
        <f aca="false">'Resumen Diario'!$A$14</f>
        <v>46245</v>
      </c>
      <c r="C26" s="10" t="n">
        <f aca="false">SUMIFS('Caja Diaria'!$F$4:$F$403,'Caja Diaria'!$B$4:$B$403,"Ingreso",'Caja Diaria'!$E$4:$E$403,"Efectivo",'Caja Diaria'!$A$4:$A$403,'Resumen Diario'!$A$14)</f>
        <v>0</v>
      </c>
      <c r="D26" s="10" t="n">
        <f aca="false">SUMIFS('Caja Diaria'!$F$4:$F$403,'Caja Diaria'!$B$4:$B$403,"Ingreso",'Caja Diaria'!$E$4:$E$403,"Tarjeta débito",'Caja Diaria'!$A$4:$A$403,'Resumen Diario'!$A$14)</f>
        <v>0</v>
      </c>
      <c r="E26" s="10" t="n">
        <f aca="false">SUMIFS('Caja Diaria'!$F$4:$F$403,'Caja Diaria'!$B$4:$B$403,"Ingreso",'Caja Diaria'!$E$4:$E$403,"Tarjeta crédito",'Caja Diaria'!$A$4:$A$403,'Resumen Diario'!$A$14)</f>
        <v>0</v>
      </c>
      <c r="F26" s="10" t="n">
        <f aca="false">SUMIFS('Caja Diaria'!$F$4:$F$403,'Caja Diaria'!$B$4:$B$403,"Ingreso",'Caja Diaria'!$E$4:$E$403,"Transferencia",'Caja Diaria'!$A$4:$A$403,'Resumen Diario'!$A$14)</f>
        <v>0</v>
      </c>
      <c r="G26" s="10" t="n">
        <f aca="false">SUMIFS('Caja Diaria'!$F$4:$F$403,'Caja Diaria'!$B$4:$B$403,"Ingreso",'Caja Diaria'!$E$4:$E$403,"MercadoPago",'Caja Diaria'!$A$4:$A$403,'Resumen Diario'!$A$14)</f>
        <v>0</v>
      </c>
      <c r="H26" s="39" t="n">
        <f aca="false">SUM(C26:G26)</f>
        <v>0</v>
      </c>
      <c r="I26" s="11" t="n">
        <f aca="false">IF(H26=0,0,C26/H26)</f>
        <v>0</v>
      </c>
    </row>
    <row r="27" customFormat="false" ht="15" hidden="false" customHeight="false" outlineLevel="0" collapsed="false">
      <c r="B27" s="38" t="n">
        <f aca="false">'Resumen Diario'!$A$15</f>
        <v>46246</v>
      </c>
      <c r="C27" s="10" t="n">
        <f aca="false">SUMIFS('Caja Diaria'!$F$4:$F$403,'Caja Diaria'!$B$4:$B$403,"Ingreso",'Caja Diaria'!$E$4:$E$403,"Efectivo",'Caja Diaria'!$A$4:$A$403,'Resumen Diario'!$A$15)</f>
        <v>0</v>
      </c>
      <c r="D27" s="10" t="n">
        <f aca="false">SUMIFS('Caja Diaria'!$F$4:$F$403,'Caja Diaria'!$B$4:$B$403,"Ingreso",'Caja Diaria'!$E$4:$E$403,"Tarjeta débito",'Caja Diaria'!$A$4:$A$403,'Resumen Diario'!$A$15)</f>
        <v>0</v>
      </c>
      <c r="E27" s="10" t="n">
        <f aca="false">SUMIFS('Caja Diaria'!$F$4:$F$403,'Caja Diaria'!$B$4:$B$403,"Ingreso",'Caja Diaria'!$E$4:$E$403,"Tarjeta crédito",'Caja Diaria'!$A$4:$A$403,'Resumen Diario'!$A$15)</f>
        <v>0</v>
      </c>
      <c r="F27" s="10" t="n">
        <f aca="false">SUMIFS('Caja Diaria'!$F$4:$F$403,'Caja Diaria'!$B$4:$B$403,"Ingreso",'Caja Diaria'!$E$4:$E$403,"Transferencia",'Caja Diaria'!$A$4:$A$403,'Resumen Diario'!$A$15)</f>
        <v>0</v>
      </c>
      <c r="G27" s="10" t="n">
        <f aca="false">SUMIFS('Caja Diaria'!$F$4:$F$403,'Caja Diaria'!$B$4:$B$403,"Ingreso",'Caja Diaria'!$E$4:$E$403,"MercadoPago",'Caja Diaria'!$A$4:$A$403,'Resumen Diario'!$A$15)</f>
        <v>0</v>
      </c>
      <c r="H27" s="39" t="n">
        <f aca="false">SUM(C27:G27)</f>
        <v>0</v>
      </c>
      <c r="I27" s="11" t="n">
        <f aca="false">IF(H27=0,0,C27/H27)</f>
        <v>0</v>
      </c>
    </row>
    <row r="28" customFormat="false" ht="15" hidden="false" customHeight="false" outlineLevel="0" collapsed="false">
      <c r="B28" s="38" t="n">
        <f aca="false">'Resumen Diario'!$A$16</f>
        <v>46247</v>
      </c>
      <c r="C28" s="10" t="n">
        <f aca="false">SUMIFS('Caja Diaria'!$F$4:$F$403,'Caja Diaria'!$B$4:$B$403,"Ingreso",'Caja Diaria'!$E$4:$E$403,"Efectivo",'Caja Diaria'!$A$4:$A$403,'Resumen Diario'!$A$16)</f>
        <v>0</v>
      </c>
      <c r="D28" s="10" t="n">
        <f aca="false">SUMIFS('Caja Diaria'!$F$4:$F$403,'Caja Diaria'!$B$4:$B$403,"Ingreso",'Caja Diaria'!$E$4:$E$403,"Tarjeta débito",'Caja Diaria'!$A$4:$A$403,'Resumen Diario'!$A$16)</f>
        <v>0</v>
      </c>
      <c r="E28" s="10" t="n">
        <f aca="false">SUMIFS('Caja Diaria'!$F$4:$F$403,'Caja Diaria'!$B$4:$B$403,"Ingreso",'Caja Diaria'!$E$4:$E$403,"Tarjeta crédito",'Caja Diaria'!$A$4:$A$403,'Resumen Diario'!$A$16)</f>
        <v>0</v>
      </c>
      <c r="F28" s="10" t="n">
        <f aca="false">SUMIFS('Caja Diaria'!$F$4:$F$403,'Caja Diaria'!$B$4:$B$403,"Ingreso",'Caja Diaria'!$E$4:$E$403,"Transferencia",'Caja Diaria'!$A$4:$A$403,'Resumen Diario'!$A$16)</f>
        <v>0</v>
      </c>
      <c r="G28" s="10" t="n">
        <f aca="false">SUMIFS('Caja Diaria'!$F$4:$F$403,'Caja Diaria'!$B$4:$B$403,"Ingreso",'Caja Diaria'!$E$4:$E$403,"MercadoPago",'Caja Diaria'!$A$4:$A$403,'Resumen Diario'!$A$16)</f>
        <v>0</v>
      </c>
      <c r="H28" s="39" t="n">
        <f aca="false">SUM(C28:G28)</f>
        <v>0</v>
      </c>
      <c r="I28" s="11" t="n">
        <f aca="false">IF(H28=0,0,C28/H28)</f>
        <v>0</v>
      </c>
    </row>
    <row r="29" customFormat="false" ht="15" hidden="false" customHeight="false" outlineLevel="0" collapsed="false">
      <c r="B29" s="38" t="n">
        <f aca="false">'Resumen Diario'!$A$17</f>
        <v>46248</v>
      </c>
      <c r="C29" s="10" t="n">
        <f aca="false">SUMIFS('Caja Diaria'!$F$4:$F$403,'Caja Diaria'!$B$4:$B$403,"Ingreso",'Caja Diaria'!$E$4:$E$403,"Efectivo",'Caja Diaria'!$A$4:$A$403,'Resumen Diario'!$A$17)</f>
        <v>0</v>
      </c>
      <c r="D29" s="10" t="n">
        <f aca="false">SUMIFS('Caja Diaria'!$F$4:$F$403,'Caja Diaria'!$B$4:$B$403,"Ingreso",'Caja Diaria'!$E$4:$E$403,"Tarjeta débito",'Caja Diaria'!$A$4:$A$403,'Resumen Diario'!$A$17)</f>
        <v>0</v>
      </c>
      <c r="E29" s="10" t="n">
        <f aca="false">SUMIFS('Caja Diaria'!$F$4:$F$403,'Caja Diaria'!$B$4:$B$403,"Ingreso",'Caja Diaria'!$E$4:$E$403,"Tarjeta crédito",'Caja Diaria'!$A$4:$A$403,'Resumen Diario'!$A$17)</f>
        <v>0</v>
      </c>
      <c r="F29" s="10" t="n">
        <f aca="false">SUMIFS('Caja Diaria'!$F$4:$F$403,'Caja Diaria'!$B$4:$B$403,"Ingreso",'Caja Diaria'!$E$4:$E$403,"Transferencia",'Caja Diaria'!$A$4:$A$403,'Resumen Diario'!$A$17)</f>
        <v>0</v>
      </c>
      <c r="G29" s="10" t="n">
        <f aca="false">SUMIFS('Caja Diaria'!$F$4:$F$403,'Caja Diaria'!$B$4:$B$403,"Ingreso",'Caja Diaria'!$E$4:$E$403,"MercadoPago",'Caja Diaria'!$A$4:$A$403,'Resumen Diario'!$A$17)</f>
        <v>0</v>
      </c>
      <c r="H29" s="39" t="n">
        <f aca="false">SUM(C29:G29)</f>
        <v>0</v>
      </c>
      <c r="I29" s="11" t="n">
        <f aca="false">IF(H29=0,0,C29/H29)</f>
        <v>0</v>
      </c>
    </row>
    <row r="30" customFormat="false" ht="15" hidden="false" customHeight="false" outlineLevel="0" collapsed="false">
      <c r="B30" s="38" t="n">
        <f aca="false">'Resumen Diario'!$A$18</f>
        <v>46249</v>
      </c>
      <c r="C30" s="10" t="n">
        <f aca="false">SUMIFS('Caja Diaria'!$F$4:$F$403,'Caja Diaria'!$B$4:$B$403,"Ingreso",'Caja Diaria'!$E$4:$E$403,"Efectivo",'Caja Diaria'!$A$4:$A$403,'Resumen Diario'!$A$18)</f>
        <v>0</v>
      </c>
      <c r="D30" s="10" t="n">
        <f aca="false">SUMIFS('Caja Diaria'!$F$4:$F$403,'Caja Diaria'!$B$4:$B$403,"Ingreso",'Caja Diaria'!$E$4:$E$403,"Tarjeta débito",'Caja Diaria'!$A$4:$A$403,'Resumen Diario'!$A$18)</f>
        <v>0</v>
      </c>
      <c r="E30" s="10" t="n">
        <f aca="false">SUMIFS('Caja Diaria'!$F$4:$F$403,'Caja Diaria'!$B$4:$B$403,"Ingreso",'Caja Diaria'!$E$4:$E$403,"Tarjeta crédito",'Caja Diaria'!$A$4:$A$403,'Resumen Diario'!$A$18)</f>
        <v>0</v>
      </c>
      <c r="F30" s="10" t="n">
        <f aca="false">SUMIFS('Caja Diaria'!$F$4:$F$403,'Caja Diaria'!$B$4:$B$403,"Ingreso",'Caja Diaria'!$E$4:$E$403,"Transferencia",'Caja Diaria'!$A$4:$A$403,'Resumen Diario'!$A$18)</f>
        <v>0</v>
      </c>
      <c r="G30" s="10" t="n">
        <f aca="false">SUMIFS('Caja Diaria'!$F$4:$F$403,'Caja Diaria'!$B$4:$B$403,"Ingreso",'Caja Diaria'!$E$4:$E$403,"MercadoPago",'Caja Diaria'!$A$4:$A$403,'Resumen Diario'!$A$18)</f>
        <v>0</v>
      </c>
      <c r="H30" s="39" t="n">
        <f aca="false">SUM(C30:G30)</f>
        <v>0</v>
      </c>
      <c r="I30" s="11" t="n">
        <f aca="false">IF(H30=0,0,C30/H30)</f>
        <v>0</v>
      </c>
    </row>
    <row r="31" customFormat="false" ht="15" hidden="false" customHeight="false" outlineLevel="0" collapsed="false">
      <c r="B31" s="38" t="n">
        <f aca="false">'Resumen Diario'!$A$19</f>
        <v>46250</v>
      </c>
      <c r="C31" s="10" t="n">
        <f aca="false">SUMIFS('Caja Diaria'!$F$4:$F$403,'Caja Diaria'!$B$4:$B$403,"Ingreso",'Caja Diaria'!$E$4:$E$403,"Efectivo",'Caja Diaria'!$A$4:$A$403,'Resumen Diario'!$A$19)</f>
        <v>0</v>
      </c>
      <c r="D31" s="10" t="n">
        <f aca="false">SUMIFS('Caja Diaria'!$F$4:$F$403,'Caja Diaria'!$B$4:$B$403,"Ingreso",'Caja Diaria'!$E$4:$E$403,"Tarjeta débito",'Caja Diaria'!$A$4:$A$403,'Resumen Diario'!$A$19)</f>
        <v>0</v>
      </c>
      <c r="E31" s="10" t="n">
        <f aca="false">SUMIFS('Caja Diaria'!$F$4:$F$403,'Caja Diaria'!$B$4:$B$403,"Ingreso",'Caja Diaria'!$E$4:$E$403,"Tarjeta crédito",'Caja Diaria'!$A$4:$A$403,'Resumen Diario'!$A$19)</f>
        <v>0</v>
      </c>
      <c r="F31" s="10" t="n">
        <f aca="false">SUMIFS('Caja Diaria'!$F$4:$F$403,'Caja Diaria'!$B$4:$B$403,"Ingreso",'Caja Diaria'!$E$4:$E$403,"Transferencia",'Caja Diaria'!$A$4:$A$403,'Resumen Diario'!$A$19)</f>
        <v>0</v>
      </c>
      <c r="G31" s="10" t="n">
        <f aca="false">SUMIFS('Caja Diaria'!$F$4:$F$403,'Caja Diaria'!$B$4:$B$403,"Ingreso",'Caja Diaria'!$E$4:$E$403,"MercadoPago",'Caja Diaria'!$A$4:$A$403,'Resumen Diario'!$A$19)</f>
        <v>0</v>
      </c>
      <c r="H31" s="39" t="n">
        <f aca="false">SUM(C31:G31)</f>
        <v>0</v>
      </c>
      <c r="I31" s="11" t="n">
        <f aca="false">IF(H31=0,0,C31/H31)</f>
        <v>0</v>
      </c>
    </row>
    <row r="32" customFormat="false" ht="15" hidden="false" customHeight="false" outlineLevel="0" collapsed="false">
      <c r="B32" s="38" t="n">
        <f aca="false">'Resumen Diario'!$A$20</f>
        <v>46251</v>
      </c>
      <c r="C32" s="10" t="n">
        <f aca="false">SUMIFS('Caja Diaria'!$F$4:$F$403,'Caja Diaria'!$B$4:$B$403,"Ingreso",'Caja Diaria'!$E$4:$E$403,"Efectivo",'Caja Diaria'!$A$4:$A$403,'Resumen Diario'!$A$20)</f>
        <v>0</v>
      </c>
      <c r="D32" s="10" t="n">
        <f aca="false">SUMIFS('Caja Diaria'!$F$4:$F$403,'Caja Diaria'!$B$4:$B$403,"Ingreso",'Caja Diaria'!$E$4:$E$403,"Tarjeta débito",'Caja Diaria'!$A$4:$A$403,'Resumen Diario'!$A$20)</f>
        <v>0</v>
      </c>
      <c r="E32" s="10" t="n">
        <f aca="false">SUMIFS('Caja Diaria'!$F$4:$F$403,'Caja Diaria'!$B$4:$B$403,"Ingreso",'Caja Diaria'!$E$4:$E$403,"Tarjeta crédito",'Caja Diaria'!$A$4:$A$403,'Resumen Diario'!$A$20)</f>
        <v>0</v>
      </c>
      <c r="F32" s="10" t="n">
        <f aca="false">SUMIFS('Caja Diaria'!$F$4:$F$403,'Caja Diaria'!$B$4:$B$403,"Ingreso",'Caja Diaria'!$E$4:$E$403,"Transferencia",'Caja Diaria'!$A$4:$A$403,'Resumen Diario'!$A$20)</f>
        <v>0</v>
      </c>
      <c r="G32" s="10" t="n">
        <f aca="false">SUMIFS('Caja Diaria'!$F$4:$F$403,'Caja Diaria'!$B$4:$B$403,"Ingreso",'Caja Diaria'!$E$4:$E$403,"MercadoPago",'Caja Diaria'!$A$4:$A$403,'Resumen Diario'!$A$20)</f>
        <v>0</v>
      </c>
      <c r="H32" s="39" t="n">
        <f aca="false">SUM(C32:G32)</f>
        <v>0</v>
      </c>
      <c r="I32" s="11" t="n">
        <f aca="false">IF(H32=0,0,C32/H32)</f>
        <v>0</v>
      </c>
    </row>
    <row r="33" customFormat="false" ht="15" hidden="false" customHeight="false" outlineLevel="0" collapsed="false">
      <c r="B33" s="38" t="n">
        <f aca="false">'Resumen Diario'!$A$21</f>
        <v>46252</v>
      </c>
      <c r="C33" s="10" t="n">
        <f aca="false">SUMIFS('Caja Diaria'!$F$4:$F$403,'Caja Diaria'!$B$4:$B$403,"Ingreso",'Caja Diaria'!$E$4:$E$403,"Efectivo",'Caja Diaria'!$A$4:$A$403,'Resumen Diario'!$A$21)</f>
        <v>0</v>
      </c>
      <c r="D33" s="10" t="n">
        <f aca="false">SUMIFS('Caja Diaria'!$F$4:$F$403,'Caja Diaria'!$B$4:$B$403,"Ingreso",'Caja Diaria'!$E$4:$E$403,"Tarjeta débito",'Caja Diaria'!$A$4:$A$403,'Resumen Diario'!$A$21)</f>
        <v>0</v>
      </c>
      <c r="E33" s="10" t="n">
        <f aca="false">SUMIFS('Caja Diaria'!$F$4:$F$403,'Caja Diaria'!$B$4:$B$403,"Ingreso",'Caja Diaria'!$E$4:$E$403,"Tarjeta crédito",'Caja Diaria'!$A$4:$A$403,'Resumen Diario'!$A$21)</f>
        <v>0</v>
      </c>
      <c r="F33" s="10" t="n">
        <f aca="false">SUMIFS('Caja Diaria'!$F$4:$F$403,'Caja Diaria'!$B$4:$B$403,"Ingreso",'Caja Diaria'!$E$4:$E$403,"Transferencia",'Caja Diaria'!$A$4:$A$403,'Resumen Diario'!$A$21)</f>
        <v>0</v>
      </c>
      <c r="G33" s="10" t="n">
        <f aca="false">SUMIFS('Caja Diaria'!$F$4:$F$403,'Caja Diaria'!$B$4:$B$403,"Ingreso",'Caja Diaria'!$E$4:$E$403,"MercadoPago",'Caja Diaria'!$A$4:$A$403,'Resumen Diario'!$A$21)</f>
        <v>0</v>
      </c>
      <c r="H33" s="39" t="n">
        <f aca="false">SUM(C33:G33)</f>
        <v>0</v>
      </c>
      <c r="I33" s="11" t="n">
        <f aca="false">IF(H33=0,0,C33/H33)</f>
        <v>0</v>
      </c>
    </row>
    <row r="34" customFormat="false" ht="15" hidden="false" customHeight="false" outlineLevel="0" collapsed="false">
      <c r="B34" s="38" t="n">
        <f aca="false">'Resumen Diario'!$A$22</f>
        <v>46253</v>
      </c>
      <c r="C34" s="10" t="n">
        <f aca="false">SUMIFS('Caja Diaria'!$F$4:$F$403,'Caja Diaria'!$B$4:$B$403,"Ingreso",'Caja Diaria'!$E$4:$E$403,"Efectivo",'Caja Diaria'!$A$4:$A$403,'Resumen Diario'!$A$22)</f>
        <v>0</v>
      </c>
      <c r="D34" s="10" t="n">
        <f aca="false">SUMIFS('Caja Diaria'!$F$4:$F$403,'Caja Diaria'!$B$4:$B$403,"Ingreso",'Caja Diaria'!$E$4:$E$403,"Tarjeta débito",'Caja Diaria'!$A$4:$A$403,'Resumen Diario'!$A$22)</f>
        <v>0</v>
      </c>
      <c r="E34" s="10" t="n">
        <f aca="false">SUMIFS('Caja Diaria'!$F$4:$F$403,'Caja Diaria'!$B$4:$B$403,"Ingreso",'Caja Diaria'!$E$4:$E$403,"Tarjeta crédito",'Caja Diaria'!$A$4:$A$403,'Resumen Diario'!$A$22)</f>
        <v>0</v>
      </c>
      <c r="F34" s="10" t="n">
        <f aca="false">SUMIFS('Caja Diaria'!$F$4:$F$403,'Caja Diaria'!$B$4:$B$403,"Ingreso",'Caja Diaria'!$E$4:$E$403,"Transferencia",'Caja Diaria'!$A$4:$A$403,'Resumen Diario'!$A$22)</f>
        <v>0</v>
      </c>
      <c r="G34" s="10" t="n">
        <f aca="false">SUMIFS('Caja Diaria'!$F$4:$F$403,'Caja Diaria'!$B$4:$B$403,"Ingreso",'Caja Diaria'!$E$4:$E$403,"MercadoPago",'Caja Diaria'!$A$4:$A$403,'Resumen Diario'!$A$22)</f>
        <v>0</v>
      </c>
      <c r="H34" s="39" t="n">
        <f aca="false">SUM(C34:G34)</f>
        <v>0</v>
      </c>
      <c r="I34" s="11" t="n">
        <f aca="false">IF(H34=0,0,C34/H34)</f>
        <v>0</v>
      </c>
    </row>
    <row r="35" customFormat="false" ht="15" hidden="false" customHeight="false" outlineLevel="0" collapsed="false">
      <c r="B35" s="38" t="n">
        <f aca="false">'Resumen Diario'!$A$23</f>
        <v>46254</v>
      </c>
      <c r="C35" s="10" t="n">
        <f aca="false">SUMIFS('Caja Diaria'!$F$4:$F$403,'Caja Diaria'!$B$4:$B$403,"Ingreso",'Caja Diaria'!$E$4:$E$403,"Efectivo",'Caja Diaria'!$A$4:$A$403,'Resumen Diario'!$A$23)</f>
        <v>0</v>
      </c>
      <c r="D35" s="10" t="n">
        <f aca="false">SUMIFS('Caja Diaria'!$F$4:$F$403,'Caja Diaria'!$B$4:$B$403,"Ingreso",'Caja Diaria'!$E$4:$E$403,"Tarjeta débito",'Caja Diaria'!$A$4:$A$403,'Resumen Diario'!$A$23)</f>
        <v>0</v>
      </c>
      <c r="E35" s="10" t="n">
        <f aca="false">SUMIFS('Caja Diaria'!$F$4:$F$403,'Caja Diaria'!$B$4:$B$403,"Ingreso",'Caja Diaria'!$E$4:$E$403,"Tarjeta crédito",'Caja Diaria'!$A$4:$A$403,'Resumen Diario'!$A$23)</f>
        <v>0</v>
      </c>
      <c r="F35" s="10" t="n">
        <f aca="false">SUMIFS('Caja Diaria'!$F$4:$F$403,'Caja Diaria'!$B$4:$B$403,"Ingreso",'Caja Diaria'!$E$4:$E$403,"Transferencia",'Caja Diaria'!$A$4:$A$403,'Resumen Diario'!$A$23)</f>
        <v>0</v>
      </c>
      <c r="G35" s="10" t="n">
        <f aca="false">SUMIFS('Caja Diaria'!$F$4:$F$403,'Caja Diaria'!$B$4:$B$403,"Ingreso",'Caja Diaria'!$E$4:$E$403,"MercadoPago",'Caja Diaria'!$A$4:$A$403,'Resumen Diario'!$A$23)</f>
        <v>0</v>
      </c>
      <c r="H35" s="39" t="n">
        <f aca="false">SUM(C35:G35)</f>
        <v>0</v>
      </c>
      <c r="I35" s="11" t="n">
        <f aca="false">IF(H35=0,0,C35/H35)</f>
        <v>0</v>
      </c>
    </row>
    <row r="36" customFormat="false" ht="15" hidden="false" customHeight="false" outlineLevel="0" collapsed="false">
      <c r="B36" s="38" t="n">
        <f aca="false">'Resumen Diario'!$A$24</f>
        <v>46255</v>
      </c>
      <c r="C36" s="10" t="n">
        <f aca="false">SUMIFS('Caja Diaria'!$F$4:$F$403,'Caja Diaria'!$B$4:$B$403,"Ingreso",'Caja Diaria'!$E$4:$E$403,"Efectivo",'Caja Diaria'!$A$4:$A$403,'Resumen Diario'!$A$24)</f>
        <v>0</v>
      </c>
      <c r="D36" s="10" t="n">
        <f aca="false">SUMIFS('Caja Diaria'!$F$4:$F$403,'Caja Diaria'!$B$4:$B$403,"Ingreso",'Caja Diaria'!$E$4:$E$403,"Tarjeta débito",'Caja Diaria'!$A$4:$A$403,'Resumen Diario'!$A$24)</f>
        <v>0</v>
      </c>
      <c r="E36" s="10" t="n">
        <f aca="false">SUMIFS('Caja Diaria'!$F$4:$F$403,'Caja Diaria'!$B$4:$B$403,"Ingreso",'Caja Diaria'!$E$4:$E$403,"Tarjeta crédito",'Caja Diaria'!$A$4:$A$403,'Resumen Diario'!$A$24)</f>
        <v>0</v>
      </c>
      <c r="F36" s="10" t="n">
        <f aca="false">SUMIFS('Caja Diaria'!$F$4:$F$403,'Caja Diaria'!$B$4:$B$403,"Ingreso",'Caja Diaria'!$E$4:$E$403,"Transferencia",'Caja Diaria'!$A$4:$A$403,'Resumen Diario'!$A$24)</f>
        <v>0</v>
      </c>
      <c r="G36" s="10" t="n">
        <f aca="false">SUMIFS('Caja Diaria'!$F$4:$F$403,'Caja Diaria'!$B$4:$B$403,"Ingreso",'Caja Diaria'!$E$4:$E$403,"MercadoPago",'Caja Diaria'!$A$4:$A$403,'Resumen Diario'!$A$24)</f>
        <v>0</v>
      </c>
      <c r="H36" s="39" t="n">
        <f aca="false">SUM(C36:G36)</f>
        <v>0</v>
      </c>
      <c r="I36" s="11" t="n">
        <f aca="false">IF(H36=0,0,C36/H36)</f>
        <v>0</v>
      </c>
    </row>
    <row r="37" customFormat="false" ht="15" hidden="false" customHeight="false" outlineLevel="0" collapsed="false">
      <c r="B37" s="38" t="n">
        <f aca="false">'Resumen Diario'!$A$25</f>
        <v>46256</v>
      </c>
      <c r="C37" s="10" t="n">
        <f aca="false">SUMIFS('Caja Diaria'!$F$4:$F$403,'Caja Diaria'!$B$4:$B$403,"Ingreso",'Caja Diaria'!$E$4:$E$403,"Efectivo",'Caja Diaria'!$A$4:$A$403,'Resumen Diario'!$A$25)</f>
        <v>0</v>
      </c>
      <c r="D37" s="10" t="n">
        <f aca="false">SUMIFS('Caja Diaria'!$F$4:$F$403,'Caja Diaria'!$B$4:$B$403,"Ingreso",'Caja Diaria'!$E$4:$E$403,"Tarjeta débito",'Caja Diaria'!$A$4:$A$403,'Resumen Diario'!$A$25)</f>
        <v>0</v>
      </c>
      <c r="E37" s="10" t="n">
        <f aca="false">SUMIFS('Caja Diaria'!$F$4:$F$403,'Caja Diaria'!$B$4:$B$403,"Ingreso",'Caja Diaria'!$E$4:$E$403,"Tarjeta crédito",'Caja Diaria'!$A$4:$A$403,'Resumen Diario'!$A$25)</f>
        <v>0</v>
      </c>
      <c r="F37" s="10" t="n">
        <f aca="false">SUMIFS('Caja Diaria'!$F$4:$F$403,'Caja Diaria'!$B$4:$B$403,"Ingreso",'Caja Diaria'!$E$4:$E$403,"Transferencia",'Caja Diaria'!$A$4:$A$403,'Resumen Diario'!$A$25)</f>
        <v>0</v>
      </c>
      <c r="G37" s="10" t="n">
        <f aca="false">SUMIFS('Caja Diaria'!$F$4:$F$403,'Caja Diaria'!$B$4:$B$403,"Ingreso",'Caja Diaria'!$E$4:$E$403,"MercadoPago",'Caja Diaria'!$A$4:$A$403,'Resumen Diario'!$A$25)</f>
        <v>0</v>
      </c>
      <c r="H37" s="39" t="n">
        <f aca="false">SUM(C37:G37)</f>
        <v>0</v>
      </c>
      <c r="I37" s="11" t="n">
        <f aca="false">IF(H37=0,0,C37/H37)</f>
        <v>0</v>
      </c>
    </row>
    <row r="38" customFormat="false" ht="15" hidden="false" customHeight="false" outlineLevel="0" collapsed="false">
      <c r="B38" s="38" t="n">
        <f aca="false">'Resumen Diario'!$A$26</f>
        <v>46257</v>
      </c>
      <c r="C38" s="10" t="n">
        <f aca="false">SUMIFS('Caja Diaria'!$F$4:$F$403,'Caja Diaria'!$B$4:$B$403,"Ingreso",'Caja Diaria'!$E$4:$E$403,"Efectivo",'Caja Diaria'!$A$4:$A$403,'Resumen Diario'!$A$26)</f>
        <v>0</v>
      </c>
      <c r="D38" s="10" t="n">
        <f aca="false">SUMIFS('Caja Diaria'!$F$4:$F$403,'Caja Diaria'!$B$4:$B$403,"Ingreso",'Caja Diaria'!$E$4:$E$403,"Tarjeta débito",'Caja Diaria'!$A$4:$A$403,'Resumen Diario'!$A$26)</f>
        <v>0</v>
      </c>
      <c r="E38" s="10" t="n">
        <f aca="false">SUMIFS('Caja Diaria'!$F$4:$F$403,'Caja Diaria'!$B$4:$B$403,"Ingreso",'Caja Diaria'!$E$4:$E$403,"Tarjeta crédito",'Caja Diaria'!$A$4:$A$403,'Resumen Diario'!$A$26)</f>
        <v>0</v>
      </c>
      <c r="F38" s="10" t="n">
        <f aca="false">SUMIFS('Caja Diaria'!$F$4:$F$403,'Caja Diaria'!$B$4:$B$403,"Ingreso",'Caja Diaria'!$E$4:$E$403,"Transferencia",'Caja Diaria'!$A$4:$A$403,'Resumen Diario'!$A$26)</f>
        <v>0</v>
      </c>
      <c r="G38" s="10" t="n">
        <f aca="false">SUMIFS('Caja Diaria'!$F$4:$F$403,'Caja Diaria'!$B$4:$B$403,"Ingreso",'Caja Diaria'!$E$4:$E$403,"MercadoPago",'Caja Diaria'!$A$4:$A$403,'Resumen Diario'!$A$26)</f>
        <v>0</v>
      </c>
      <c r="H38" s="39" t="n">
        <f aca="false">SUM(C38:G38)</f>
        <v>0</v>
      </c>
      <c r="I38" s="11" t="n">
        <f aca="false">IF(H38=0,0,C38/H38)</f>
        <v>0</v>
      </c>
    </row>
    <row r="39" customFormat="false" ht="15" hidden="false" customHeight="false" outlineLevel="0" collapsed="false">
      <c r="B39" s="38" t="n">
        <f aca="false">'Resumen Diario'!$A$27</f>
        <v>46258</v>
      </c>
      <c r="C39" s="10" t="n">
        <f aca="false">SUMIFS('Caja Diaria'!$F$4:$F$403,'Caja Diaria'!$B$4:$B$403,"Ingreso",'Caja Diaria'!$E$4:$E$403,"Efectivo",'Caja Diaria'!$A$4:$A$403,'Resumen Diario'!$A$27)</f>
        <v>0</v>
      </c>
      <c r="D39" s="10" t="n">
        <f aca="false">SUMIFS('Caja Diaria'!$F$4:$F$403,'Caja Diaria'!$B$4:$B$403,"Ingreso",'Caja Diaria'!$E$4:$E$403,"Tarjeta débito",'Caja Diaria'!$A$4:$A$403,'Resumen Diario'!$A$27)</f>
        <v>0</v>
      </c>
      <c r="E39" s="10" t="n">
        <f aca="false">SUMIFS('Caja Diaria'!$F$4:$F$403,'Caja Diaria'!$B$4:$B$403,"Ingreso",'Caja Diaria'!$E$4:$E$403,"Tarjeta crédito",'Caja Diaria'!$A$4:$A$403,'Resumen Diario'!$A$27)</f>
        <v>0</v>
      </c>
      <c r="F39" s="10" t="n">
        <f aca="false">SUMIFS('Caja Diaria'!$F$4:$F$403,'Caja Diaria'!$B$4:$B$403,"Ingreso",'Caja Diaria'!$E$4:$E$403,"Transferencia",'Caja Diaria'!$A$4:$A$403,'Resumen Diario'!$A$27)</f>
        <v>0</v>
      </c>
      <c r="G39" s="10" t="n">
        <f aca="false">SUMIFS('Caja Diaria'!$F$4:$F$403,'Caja Diaria'!$B$4:$B$403,"Ingreso",'Caja Diaria'!$E$4:$E$403,"MercadoPago",'Caja Diaria'!$A$4:$A$403,'Resumen Diario'!$A$27)</f>
        <v>0</v>
      </c>
      <c r="H39" s="39" t="n">
        <f aca="false">SUM(C39:G39)</f>
        <v>0</v>
      </c>
      <c r="I39" s="11" t="n">
        <f aca="false">IF(H39=0,0,C39/H39)</f>
        <v>0</v>
      </c>
    </row>
    <row r="40" customFormat="false" ht="15" hidden="false" customHeight="false" outlineLevel="0" collapsed="false">
      <c r="B40" s="38" t="n">
        <f aca="false">'Resumen Diario'!$A$28</f>
        <v>46259</v>
      </c>
      <c r="C40" s="10" t="n">
        <f aca="false">SUMIFS('Caja Diaria'!$F$4:$F$403,'Caja Diaria'!$B$4:$B$403,"Ingreso",'Caja Diaria'!$E$4:$E$403,"Efectivo",'Caja Diaria'!$A$4:$A$403,'Resumen Diario'!$A$28)</f>
        <v>0</v>
      </c>
      <c r="D40" s="10" t="n">
        <f aca="false">SUMIFS('Caja Diaria'!$F$4:$F$403,'Caja Diaria'!$B$4:$B$403,"Ingreso",'Caja Diaria'!$E$4:$E$403,"Tarjeta débito",'Caja Diaria'!$A$4:$A$403,'Resumen Diario'!$A$28)</f>
        <v>0</v>
      </c>
      <c r="E40" s="10" t="n">
        <f aca="false">SUMIFS('Caja Diaria'!$F$4:$F$403,'Caja Diaria'!$B$4:$B$403,"Ingreso",'Caja Diaria'!$E$4:$E$403,"Tarjeta crédito",'Caja Diaria'!$A$4:$A$403,'Resumen Diario'!$A$28)</f>
        <v>0</v>
      </c>
      <c r="F40" s="10" t="n">
        <f aca="false">SUMIFS('Caja Diaria'!$F$4:$F$403,'Caja Diaria'!$B$4:$B$403,"Ingreso",'Caja Diaria'!$E$4:$E$403,"Transferencia",'Caja Diaria'!$A$4:$A$403,'Resumen Diario'!$A$28)</f>
        <v>0</v>
      </c>
      <c r="G40" s="10" t="n">
        <f aca="false">SUMIFS('Caja Diaria'!$F$4:$F$403,'Caja Diaria'!$B$4:$B$403,"Ingreso",'Caja Diaria'!$E$4:$E$403,"MercadoPago",'Caja Diaria'!$A$4:$A$403,'Resumen Diario'!$A$28)</f>
        <v>0</v>
      </c>
      <c r="H40" s="39" t="n">
        <f aca="false">SUM(C40:G40)</f>
        <v>0</v>
      </c>
      <c r="I40" s="11" t="n">
        <f aca="false">IF(H40=0,0,C40/H40)</f>
        <v>0</v>
      </c>
    </row>
    <row r="41" customFormat="false" ht="15" hidden="false" customHeight="false" outlineLevel="0" collapsed="false">
      <c r="B41" s="38" t="n">
        <f aca="false">'Resumen Diario'!$A$29</f>
        <v>46260</v>
      </c>
      <c r="C41" s="10" t="n">
        <f aca="false">SUMIFS('Caja Diaria'!$F$4:$F$403,'Caja Diaria'!$B$4:$B$403,"Ingreso",'Caja Diaria'!$E$4:$E$403,"Efectivo",'Caja Diaria'!$A$4:$A$403,'Resumen Diario'!$A$29)</f>
        <v>0</v>
      </c>
      <c r="D41" s="10" t="n">
        <f aca="false">SUMIFS('Caja Diaria'!$F$4:$F$403,'Caja Diaria'!$B$4:$B$403,"Ingreso",'Caja Diaria'!$E$4:$E$403,"Tarjeta débito",'Caja Diaria'!$A$4:$A$403,'Resumen Diario'!$A$29)</f>
        <v>0</v>
      </c>
      <c r="E41" s="10" t="n">
        <f aca="false">SUMIFS('Caja Diaria'!$F$4:$F$403,'Caja Diaria'!$B$4:$B$403,"Ingreso",'Caja Diaria'!$E$4:$E$403,"Tarjeta crédito",'Caja Diaria'!$A$4:$A$403,'Resumen Diario'!$A$29)</f>
        <v>0</v>
      </c>
      <c r="F41" s="10" t="n">
        <f aca="false">SUMIFS('Caja Diaria'!$F$4:$F$403,'Caja Diaria'!$B$4:$B$403,"Ingreso",'Caja Diaria'!$E$4:$E$403,"Transferencia",'Caja Diaria'!$A$4:$A$403,'Resumen Diario'!$A$29)</f>
        <v>0</v>
      </c>
      <c r="G41" s="10" t="n">
        <f aca="false">SUMIFS('Caja Diaria'!$F$4:$F$403,'Caja Diaria'!$B$4:$B$403,"Ingreso",'Caja Diaria'!$E$4:$E$403,"MercadoPago",'Caja Diaria'!$A$4:$A$403,'Resumen Diario'!$A$29)</f>
        <v>0</v>
      </c>
      <c r="H41" s="39" t="n">
        <f aca="false">SUM(C41:G41)</f>
        <v>0</v>
      </c>
      <c r="I41" s="11" t="n">
        <f aca="false">IF(H41=0,0,C41/H41)</f>
        <v>0</v>
      </c>
    </row>
    <row r="42" customFormat="false" ht="15" hidden="false" customHeight="false" outlineLevel="0" collapsed="false">
      <c r="B42" s="38" t="n">
        <f aca="false">'Resumen Diario'!$A$30</f>
        <v>46261</v>
      </c>
      <c r="C42" s="10" t="n">
        <f aca="false">SUMIFS('Caja Diaria'!$F$4:$F$403,'Caja Diaria'!$B$4:$B$403,"Ingreso",'Caja Diaria'!$E$4:$E$403,"Efectivo",'Caja Diaria'!$A$4:$A$403,'Resumen Diario'!$A$30)</f>
        <v>0</v>
      </c>
      <c r="D42" s="10" t="n">
        <f aca="false">SUMIFS('Caja Diaria'!$F$4:$F$403,'Caja Diaria'!$B$4:$B$403,"Ingreso",'Caja Diaria'!$E$4:$E$403,"Tarjeta débito",'Caja Diaria'!$A$4:$A$403,'Resumen Diario'!$A$30)</f>
        <v>0</v>
      </c>
      <c r="E42" s="10" t="n">
        <f aca="false">SUMIFS('Caja Diaria'!$F$4:$F$403,'Caja Diaria'!$B$4:$B$403,"Ingreso",'Caja Diaria'!$E$4:$E$403,"Tarjeta crédito",'Caja Diaria'!$A$4:$A$403,'Resumen Diario'!$A$30)</f>
        <v>0</v>
      </c>
      <c r="F42" s="10" t="n">
        <f aca="false">SUMIFS('Caja Diaria'!$F$4:$F$403,'Caja Diaria'!$B$4:$B$403,"Ingreso",'Caja Diaria'!$E$4:$E$403,"Transferencia",'Caja Diaria'!$A$4:$A$403,'Resumen Diario'!$A$30)</f>
        <v>0</v>
      </c>
      <c r="G42" s="10" t="n">
        <f aca="false">SUMIFS('Caja Diaria'!$F$4:$F$403,'Caja Diaria'!$B$4:$B$403,"Ingreso",'Caja Diaria'!$E$4:$E$403,"MercadoPago",'Caja Diaria'!$A$4:$A$403,'Resumen Diario'!$A$30)</f>
        <v>0</v>
      </c>
      <c r="H42" s="39" t="n">
        <f aca="false">SUM(C42:G42)</f>
        <v>0</v>
      </c>
      <c r="I42" s="11" t="n">
        <f aca="false">IF(H42=0,0,C42/H42)</f>
        <v>0</v>
      </c>
    </row>
    <row r="43" customFormat="false" ht="15" hidden="false" customHeight="false" outlineLevel="0" collapsed="false">
      <c r="B43" s="38" t="n">
        <f aca="false">'Resumen Diario'!$A$31</f>
        <v>46262</v>
      </c>
      <c r="C43" s="10" t="n">
        <f aca="false">SUMIFS('Caja Diaria'!$F$4:$F$403,'Caja Diaria'!$B$4:$B$403,"Ingreso",'Caja Diaria'!$E$4:$E$403,"Efectivo",'Caja Diaria'!$A$4:$A$403,'Resumen Diario'!$A$31)</f>
        <v>0</v>
      </c>
      <c r="D43" s="10" t="n">
        <f aca="false">SUMIFS('Caja Diaria'!$F$4:$F$403,'Caja Diaria'!$B$4:$B$403,"Ingreso",'Caja Diaria'!$E$4:$E$403,"Tarjeta débito",'Caja Diaria'!$A$4:$A$403,'Resumen Diario'!$A$31)</f>
        <v>0</v>
      </c>
      <c r="E43" s="10" t="n">
        <f aca="false">SUMIFS('Caja Diaria'!$F$4:$F$403,'Caja Diaria'!$B$4:$B$403,"Ingreso",'Caja Diaria'!$E$4:$E$403,"Tarjeta crédito",'Caja Diaria'!$A$4:$A$403,'Resumen Diario'!$A$31)</f>
        <v>0</v>
      </c>
      <c r="F43" s="10" t="n">
        <f aca="false">SUMIFS('Caja Diaria'!$F$4:$F$403,'Caja Diaria'!$B$4:$B$403,"Ingreso",'Caja Diaria'!$E$4:$E$403,"Transferencia",'Caja Diaria'!$A$4:$A$403,'Resumen Diario'!$A$31)</f>
        <v>0</v>
      </c>
      <c r="G43" s="10" t="n">
        <f aca="false">SUMIFS('Caja Diaria'!$F$4:$F$403,'Caja Diaria'!$B$4:$B$403,"Ingreso",'Caja Diaria'!$E$4:$E$403,"MercadoPago",'Caja Diaria'!$A$4:$A$403,'Resumen Diario'!$A$31)</f>
        <v>0</v>
      </c>
      <c r="H43" s="39" t="n">
        <f aca="false">SUM(C43:G43)</f>
        <v>0</v>
      </c>
      <c r="I43" s="11" t="n">
        <f aca="false">IF(H43=0,0,C43/H43)</f>
        <v>0</v>
      </c>
    </row>
    <row r="44" customFormat="false" ht="15" hidden="false" customHeight="false" outlineLevel="0" collapsed="false">
      <c r="B44" s="38" t="n">
        <f aca="false">'Resumen Diario'!$A$32</f>
        <v>46263</v>
      </c>
      <c r="C44" s="10" t="n">
        <f aca="false">SUMIFS('Caja Diaria'!$F$4:$F$403,'Caja Diaria'!$B$4:$B$403,"Ingreso",'Caja Diaria'!$E$4:$E$403,"Efectivo",'Caja Diaria'!$A$4:$A$403,'Resumen Diario'!$A$32)</f>
        <v>0</v>
      </c>
      <c r="D44" s="10" t="n">
        <f aca="false">SUMIFS('Caja Diaria'!$F$4:$F$403,'Caja Diaria'!$B$4:$B$403,"Ingreso",'Caja Diaria'!$E$4:$E$403,"Tarjeta débito",'Caja Diaria'!$A$4:$A$403,'Resumen Diario'!$A$32)</f>
        <v>0</v>
      </c>
      <c r="E44" s="10" t="n">
        <f aca="false">SUMIFS('Caja Diaria'!$F$4:$F$403,'Caja Diaria'!$B$4:$B$403,"Ingreso",'Caja Diaria'!$E$4:$E$403,"Tarjeta crédito",'Caja Diaria'!$A$4:$A$403,'Resumen Diario'!$A$32)</f>
        <v>0</v>
      </c>
      <c r="F44" s="10" t="n">
        <f aca="false">SUMIFS('Caja Diaria'!$F$4:$F$403,'Caja Diaria'!$B$4:$B$403,"Ingreso",'Caja Diaria'!$E$4:$E$403,"Transferencia",'Caja Diaria'!$A$4:$A$403,'Resumen Diario'!$A$32)</f>
        <v>0</v>
      </c>
      <c r="G44" s="10" t="n">
        <f aca="false">SUMIFS('Caja Diaria'!$F$4:$F$403,'Caja Diaria'!$B$4:$B$403,"Ingreso",'Caja Diaria'!$E$4:$E$403,"MercadoPago",'Caja Diaria'!$A$4:$A$403,'Resumen Diario'!$A$32)</f>
        <v>0</v>
      </c>
      <c r="H44" s="39" t="n">
        <f aca="false">SUM(C44:G44)</f>
        <v>0</v>
      </c>
      <c r="I44" s="11" t="n">
        <f aca="false">IF(H44=0,0,C44/H44)</f>
        <v>0</v>
      </c>
    </row>
    <row r="45" customFormat="false" ht="15" hidden="false" customHeight="false" outlineLevel="0" collapsed="false">
      <c r="B45" s="38" t="n">
        <f aca="false">'Resumen Diario'!$A$33</f>
        <v>46264</v>
      </c>
      <c r="C45" s="10" t="n">
        <f aca="false">SUMIFS('Caja Diaria'!$F$4:$F$403,'Caja Diaria'!$B$4:$B$403,"Ingreso",'Caja Diaria'!$E$4:$E$403,"Efectivo",'Caja Diaria'!$A$4:$A$403,'Resumen Diario'!$A$33)</f>
        <v>0</v>
      </c>
      <c r="D45" s="10" t="n">
        <f aca="false">SUMIFS('Caja Diaria'!$F$4:$F$403,'Caja Diaria'!$B$4:$B$403,"Ingreso",'Caja Diaria'!$E$4:$E$403,"Tarjeta débito",'Caja Diaria'!$A$4:$A$403,'Resumen Diario'!$A$33)</f>
        <v>0</v>
      </c>
      <c r="E45" s="10" t="n">
        <f aca="false">SUMIFS('Caja Diaria'!$F$4:$F$403,'Caja Diaria'!$B$4:$B$403,"Ingreso",'Caja Diaria'!$E$4:$E$403,"Tarjeta crédito",'Caja Diaria'!$A$4:$A$403,'Resumen Diario'!$A$33)</f>
        <v>0</v>
      </c>
      <c r="F45" s="10" t="n">
        <f aca="false">SUMIFS('Caja Diaria'!$F$4:$F$403,'Caja Diaria'!$B$4:$B$403,"Ingreso",'Caja Diaria'!$E$4:$E$403,"Transferencia",'Caja Diaria'!$A$4:$A$403,'Resumen Diario'!$A$33)</f>
        <v>0</v>
      </c>
      <c r="G45" s="10" t="n">
        <f aca="false">SUMIFS('Caja Diaria'!$F$4:$F$403,'Caja Diaria'!$B$4:$B$403,"Ingreso",'Caja Diaria'!$E$4:$E$403,"MercadoPago",'Caja Diaria'!$A$4:$A$403,'Resumen Diario'!$A$33)</f>
        <v>0</v>
      </c>
      <c r="H45" s="39" t="n">
        <f aca="false">SUM(C45:G45)</f>
        <v>0</v>
      </c>
      <c r="I45" s="11" t="n">
        <f aca="false">IF(H45=0,0,C45/H45)</f>
        <v>0</v>
      </c>
    </row>
    <row r="46" customFormat="false" ht="15" hidden="false" customHeight="false" outlineLevel="0" collapsed="false">
      <c r="B46" s="38" t="n">
        <f aca="false">'Resumen Diario'!$A$34</f>
        <v>46265</v>
      </c>
      <c r="C46" s="10" t="n">
        <f aca="false">SUMIFS('Caja Diaria'!$F$4:$F$403,'Caja Diaria'!$B$4:$B$403,"Ingreso",'Caja Diaria'!$E$4:$E$403,"Efectivo",'Caja Diaria'!$A$4:$A$403,'Resumen Diario'!$A$34)</f>
        <v>0</v>
      </c>
      <c r="D46" s="10" t="n">
        <f aca="false">SUMIFS('Caja Diaria'!$F$4:$F$403,'Caja Diaria'!$B$4:$B$403,"Ingreso",'Caja Diaria'!$E$4:$E$403,"Tarjeta débito",'Caja Diaria'!$A$4:$A$403,'Resumen Diario'!$A$34)</f>
        <v>0</v>
      </c>
      <c r="E46" s="10" t="n">
        <f aca="false">SUMIFS('Caja Diaria'!$F$4:$F$403,'Caja Diaria'!$B$4:$B$403,"Ingreso",'Caja Diaria'!$E$4:$E$403,"Tarjeta crédito",'Caja Diaria'!$A$4:$A$403,'Resumen Diario'!$A$34)</f>
        <v>0</v>
      </c>
      <c r="F46" s="10" t="n">
        <f aca="false">SUMIFS('Caja Diaria'!$F$4:$F$403,'Caja Diaria'!$B$4:$B$403,"Ingreso",'Caja Diaria'!$E$4:$E$403,"Transferencia",'Caja Diaria'!$A$4:$A$403,'Resumen Diario'!$A$34)</f>
        <v>0</v>
      </c>
      <c r="G46" s="10" t="n">
        <f aca="false">SUMIFS('Caja Diaria'!$F$4:$F$403,'Caja Diaria'!$B$4:$B$403,"Ingreso",'Caja Diaria'!$E$4:$E$403,"MercadoPago",'Caja Diaria'!$A$4:$A$403,'Resumen Diario'!$A$34)</f>
        <v>0</v>
      </c>
      <c r="H46" s="39" t="n">
        <f aca="false">SUM(C46:G46)</f>
        <v>0</v>
      </c>
      <c r="I46" s="11" t="n">
        <f aca="false">IF(H46=0,0,C46/H46)</f>
        <v>0</v>
      </c>
    </row>
    <row r="47" customFormat="false" ht="15" hidden="false" customHeight="false" outlineLevel="0" collapsed="false">
      <c r="B47" s="12" t="s">
        <v>20</v>
      </c>
      <c r="C47" s="13" t="n">
        <f aca="false">SUM(C16:C46)</f>
        <v>543000</v>
      </c>
      <c r="D47" s="13" t="n">
        <f aca="false">SUM(D16:D46)</f>
        <v>0</v>
      </c>
      <c r="E47" s="13" t="n">
        <f aca="false">SUM(E16:E46)</f>
        <v>2665500</v>
      </c>
      <c r="F47" s="13" t="n">
        <f aca="false">SUM(F16:F46)</f>
        <v>0</v>
      </c>
      <c r="G47" s="13" t="n">
        <f aca="false">SUM(G16:G46)</f>
        <v>2628000</v>
      </c>
      <c r="H47" s="13" t="n">
        <f aca="false">SUM(H16:H46)</f>
        <v>5836500</v>
      </c>
      <c r="I47" s="14" t="n">
        <f aca="false">IF(H47=0,0,C47/H47)</f>
        <v>0.093035209457723</v>
      </c>
    </row>
  </sheetData>
  <mergeCells count="3">
    <mergeCell ref="B1:F1"/>
    <mergeCell ref="B2:F2"/>
    <mergeCell ref="B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5" min="3" style="1" width="18"/>
  </cols>
  <sheetData>
    <row r="1" customFormat="false" ht="24" hidden="false" customHeight="true" outlineLevel="0" collapsed="false">
      <c r="B1" s="2" t="s">
        <v>205</v>
      </c>
      <c r="C1" s="2"/>
      <c r="D1" s="2"/>
      <c r="E1" s="2"/>
    </row>
    <row r="2" customFormat="false" ht="15" hidden="false" customHeight="false" outlineLevel="0" collapsed="false">
      <c r="B2" s="3" t="s">
        <v>206</v>
      </c>
      <c r="C2" s="3"/>
      <c r="D2" s="3"/>
      <c r="E2" s="3"/>
    </row>
    <row r="4" customFormat="false" ht="15" hidden="false" customHeight="false" outlineLevel="0" collapsed="false">
      <c r="B4" s="24" t="s">
        <v>207</v>
      </c>
      <c r="C4" s="23" t="n">
        <v>0.27</v>
      </c>
      <c r="D4" s="28" t="s">
        <v>208</v>
      </c>
    </row>
    <row r="6" customFormat="false" ht="15" hidden="false" customHeight="false" outlineLevel="0" collapsed="false">
      <c r="B6" s="43" t="s">
        <v>209</v>
      </c>
      <c r="C6" s="43" t="s">
        <v>210</v>
      </c>
      <c r="D6" s="43" t="s">
        <v>211</v>
      </c>
      <c r="E6" s="43" t="s">
        <v>212</v>
      </c>
    </row>
    <row r="7" customFormat="false" ht="15" hidden="false" customHeight="false" outlineLevel="0" collapsed="false">
      <c r="B7" s="9" t="s">
        <v>213</v>
      </c>
      <c r="C7" s="25" t="n">
        <v>0</v>
      </c>
      <c r="D7" s="37" t="n">
        <f aca="false">C7*$C$4</f>
        <v>0</v>
      </c>
      <c r="E7" s="44" t="n">
        <f aca="false">C7+D7</f>
        <v>0</v>
      </c>
    </row>
    <row r="8" customFormat="false" ht="15" hidden="false" customHeight="false" outlineLevel="0" collapsed="false">
      <c r="B8" s="9" t="s">
        <v>214</v>
      </c>
      <c r="C8" s="25" t="n">
        <v>0</v>
      </c>
      <c r="D8" s="37" t="n">
        <f aca="false">C8*$C$4</f>
        <v>0</v>
      </c>
      <c r="E8" s="44" t="n">
        <f aca="false">C8+D8</f>
        <v>0</v>
      </c>
    </row>
    <row r="9" customFormat="false" ht="15" hidden="false" customHeight="false" outlineLevel="0" collapsed="false">
      <c r="B9" s="9" t="s">
        <v>215</v>
      </c>
      <c r="C9" s="25" t="n">
        <v>0</v>
      </c>
      <c r="D9" s="37" t="n">
        <f aca="false">C9*$C$4</f>
        <v>0</v>
      </c>
      <c r="E9" s="44" t="n">
        <f aca="false">C9+D9</f>
        <v>0</v>
      </c>
    </row>
    <row r="10" customFormat="false" ht="15" hidden="false" customHeight="false" outlineLevel="0" collapsed="false">
      <c r="B10" s="9" t="s">
        <v>216</v>
      </c>
      <c r="C10" s="25" t="n">
        <v>0</v>
      </c>
      <c r="D10" s="37" t="n">
        <f aca="false">C10*$C$4</f>
        <v>0</v>
      </c>
      <c r="E10" s="44" t="n">
        <f aca="false">C10+D10</f>
        <v>0</v>
      </c>
    </row>
    <row r="11" customFormat="false" ht="15" hidden="false" customHeight="false" outlineLevel="0" collapsed="false">
      <c r="B11" s="9" t="s">
        <v>217</v>
      </c>
      <c r="C11" s="25" t="n">
        <v>0</v>
      </c>
      <c r="D11" s="37" t="n">
        <f aca="false">C11*$C$4</f>
        <v>0</v>
      </c>
      <c r="E11" s="44" t="n">
        <f aca="false">C11+D11</f>
        <v>0</v>
      </c>
    </row>
    <row r="12" customFormat="false" ht="15" hidden="false" customHeight="false" outlineLevel="0" collapsed="false">
      <c r="B12" s="9" t="s">
        <v>218</v>
      </c>
      <c r="C12" s="25" t="n">
        <v>0</v>
      </c>
      <c r="D12" s="37" t="n">
        <f aca="false">C12*$C$4</f>
        <v>0</v>
      </c>
      <c r="E12" s="44" t="n">
        <f aca="false">C12+D12</f>
        <v>0</v>
      </c>
    </row>
    <row r="13" customFormat="false" ht="15" hidden="false" customHeight="false" outlineLevel="0" collapsed="false">
      <c r="B13" s="9" t="s">
        <v>74</v>
      </c>
      <c r="C13" s="25" t="n">
        <v>0</v>
      </c>
      <c r="D13" s="37" t="n">
        <f aca="false">C13*$C$4</f>
        <v>0</v>
      </c>
      <c r="E13" s="44" t="n">
        <f aca="false">C13+D13</f>
        <v>0</v>
      </c>
    </row>
    <row r="14" customFormat="false" ht="15" hidden="false" customHeight="false" outlineLevel="0" collapsed="false">
      <c r="B14" s="9" t="s">
        <v>187</v>
      </c>
      <c r="C14" s="25" t="n">
        <v>0</v>
      </c>
      <c r="D14" s="37" t="n">
        <f aca="false">C14*$C$4</f>
        <v>0</v>
      </c>
      <c r="E14" s="44" t="n">
        <f aca="false">C14+D14</f>
        <v>0</v>
      </c>
    </row>
    <row r="15" customFormat="false" ht="15" hidden="false" customHeight="false" outlineLevel="0" collapsed="false">
      <c r="B15" s="9" t="s">
        <v>219</v>
      </c>
      <c r="C15" s="25" t="n">
        <v>0</v>
      </c>
      <c r="D15" s="37" t="n">
        <f aca="false">C15*$C$4</f>
        <v>0</v>
      </c>
      <c r="E15" s="44" t="n">
        <f aca="false">C15+D15</f>
        <v>0</v>
      </c>
    </row>
    <row r="16" customFormat="false" ht="15" hidden="false" customHeight="false" outlineLevel="0" collapsed="false">
      <c r="B16" s="9" t="s">
        <v>220</v>
      </c>
      <c r="C16" s="25" t="n">
        <v>0</v>
      </c>
      <c r="D16" s="37" t="n">
        <f aca="false">C16*$C$4</f>
        <v>0</v>
      </c>
      <c r="E16" s="44" t="n">
        <f aca="false">C16+D16</f>
        <v>0</v>
      </c>
    </row>
    <row r="17" customFormat="false" ht="15" hidden="false" customHeight="false" outlineLevel="0" collapsed="false">
      <c r="B17" s="9" t="s">
        <v>220</v>
      </c>
      <c r="C17" s="25" t="n">
        <v>0</v>
      </c>
      <c r="D17" s="37" t="n">
        <f aca="false">C17*$C$4</f>
        <v>0</v>
      </c>
      <c r="E17" s="44" t="n">
        <f aca="false">C17+D17</f>
        <v>0</v>
      </c>
    </row>
    <row r="18" customFormat="false" ht="15" hidden="false" customHeight="false" outlineLevel="0" collapsed="false">
      <c r="B18" s="9" t="s">
        <v>220</v>
      </c>
      <c r="C18" s="25" t="n">
        <v>0</v>
      </c>
      <c r="D18" s="37" t="n">
        <f aca="false">C18*$C$4</f>
        <v>0</v>
      </c>
      <c r="E18" s="44" t="n">
        <f aca="false">C18+D18</f>
        <v>0</v>
      </c>
    </row>
    <row r="19" customFormat="false" ht="15" hidden="false" customHeight="false" outlineLevel="0" collapsed="false">
      <c r="B19" s="12" t="s">
        <v>221</v>
      </c>
      <c r="C19" s="45" t="n">
        <f aca="false">SUM(C7:C18)</f>
        <v>0</v>
      </c>
      <c r="D19" s="45" t="n">
        <f aca="false">SUM(D7:D18)</f>
        <v>0</v>
      </c>
      <c r="E19" s="45" t="n">
        <f aca="false">SUM(E7:E18)</f>
        <v>0</v>
      </c>
    </row>
    <row r="21" customFormat="false" ht="15" hidden="false" customHeight="false" outlineLevel="0" collapsed="false">
      <c r="B21" s="28" t="s">
        <v>222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42"/>
    <col collapsed="false" customWidth="true" hidden="false" outlineLevel="0" max="4" min="4" style="1" width="18"/>
  </cols>
  <sheetData>
    <row r="1" customFormat="false" ht="24" hidden="false" customHeight="true" outlineLevel="0" collapsed="false">
      <c r="B1" s="2" t="s">
        <v>223</v>
      </c>
      <c r="C1" s="2"/>
      <c r="D1" s="2"/>
    </row>
    <row r="2" customFormat="false" ht="15" hidden="false" customHeight="false" outlineLevel="0" collapsed="false">
      <c r="B2" s="3" t="s">
        <v>224</v>
      </c>
      <c r="C2" s="3"/>
      <c r="D2" s="3"/>
    </row>
    <row r="4" customFormat="false" ht="15" hidden="false" customHeight="false" outlineLevel="0" collapsed="false">
      <c r="B4" s="43" t="s">
        <v>100</v>
      </c>
      <c r="C4" s="43" t="s">
        <v>9</v>
      </c>
      <c r="D4" s="43" t="s">
        <v>63</v>
      </c>
    </row>
    <row r="5" customFormat="false" ht="15" hidden="false" customHeight="false" outlineLevel="0" collapsed="false">
      <c r="B5" s="33"/>
      <c r="C5" s="35"/>
      <c r="D5" s="36"/>
    </row>
    <row r="6" customFormat="false" ht="15" hidden="false" customHeight="false" outlineLevel="0" collapsed="false">
      <c r="B6" s="33"/>
      <c r="C6" s="35"/>
      <c r="D6" s="36"/>
    </row>
    <row r="7" customFormat="false" ht="15" hidden="false" customHeight="false" outlineLevel="0" collapsed="false">
      <c r="B7" s="33"/>
      <c r="C7" s="35"/>
      <c r="D7" s="36"/>
    </row>
    <row r="8" customFormat="false" ht="15" hidden="false" customHeight="false" outlineLevel="0" collapsed="false">
      <c r="B8" s="33"/>
      <c r="C8" s="35"/>
      <c r="D8" s="36"/>
    </row>
    <row r="9" customFormat="false" ht="15" hidden="false" customHeight="false" outlineLevel="0" collapsed="false">
      <c r="B9" s="33"/>
      <c r="C9" s="35"/>
      <c r="D9" s="36"/>
    </row>
    <row r="10" customFormat="false" ht="15" hidden="false" customHeight="false" outlineLevel="0" collapsed="false">
      <c r="B10" s="33"/>
      <c r="C10" s="35"/>
      <c r="D10" s="36"/>
    </row>
    <row r="11" customFormat="false" ht="15" hidden="false" customHeight="false" outlineLevel="0" collapsed="false">
      <c r="B11" s="33"/>
      <c r="C11" s="35"/>
      <c r="D11" s="36"/>
    </row>
    <row r="12" customFormat="false" ht="15" hidden="false" customHeight="false" outlineLevel="0" collapsed="false">
      <c r="B12" s="33"/>
      <c r="C12" s="35"/>
      <c r="D12" s="36"/>
    </row>
    <row r="13" customFormat="false" ht="15" hidden="false" customHeight="false" outlineLevel="0" collapsed="false">
      <c r="B13" s="33"/>
      <c r="C13" s="35"/>
      <c r="D13" s="36"/>
    </row>
    <row r="14" customFormat="false" ht="15" hidden="false" customHeight="false" outlineLevel="0" collapsed="false">
      <c r="B14" s="33"/>
      <c r="C14" s="35"/>
      <c r="D14" s="36"/>
    </row>
    <row r="15" customFormat="false" ht="15" hidden="false" customHeight="false" outlineLevel="0" collapsed="false">
      <c r="B15" s="33"/>
      <c r="C15" s="35"/>
      <c r="D15" s="36"/>
    </row>
    <row r="16" customFormat="false" ht="15" hidden="false" customHeight="false" outlineLevel="0" collapsed="false">
      <c r="B16" s="33"/>
      <c r="C16" s="35"/>
      <c r="D16" s="36"/>
    </row>
    <row r="17" customFormat="false" ht="15" hidden="false" customHeight="false" outlineLevel="0" collapsed="false">
      <c r="B17" s="33"/>
      <c r="C17" s="35"/>
      <c r="D17" s="36"/>
    </row>
    <row r="18" customFormat="false" ht="15" hidden="false" customHeight="false" outlineLevel="0" collapsed="false">
      <c r="B18" s="33"/>
      <c r="C18" s="35"/>
      <c r="D18" s="36"/>
    </row>
    <row r="19" customFormat="false" ht="15" hidden="false" customHeight="false" outlineLevel="0" collapsed="false">
      <c r="B19" s="33"/>
      <c r="C19" s="35"/>
      <c r="D19" s="36"/>
    </row>
    <row r="20" customFormat="false" ht="15" hidden="false" customHeight="false" outlineLevel="0" collapsed="false">
      <c r="B20" s="33"/>
      <c r="C20" s="35"/>
      <c r="D20" s="36"/>
    </row>
    <row r="21" customFormat="false" ht="15" hidden="false" customHeight="false" outlineLevel="0" collapsed="false">
      <c r="B21" s="33"/>
      <c r="C21" s="35"/>
      <c r="D21" s="36"/>
    </row>
    <row r="22" customFormat="false" ht="15" hidden="false" customHeight="false" outlineLevel="0" collapsed="false">
      <c r="B22" s="33"/>
      <c r="C22" s="35"/>
      <c r="D22" s="36"/>
    </row>
    <row r="23" customFormat="false" ht="15" hidden="false" customHeight="false" outlineLevel="0" collapsed="false">
      <c r="B23" s="33"/>
      <c r="C23" s="35"/>
      <c r="D23" s="36"/>
    </row>
    <row r="24" customFormat="false" ht="15" hidden="false" customHeight="false" outlineLevel="0" collapsed="false">
      <c r="B24" s="33"/>
      <c r="C24" s="35"/>
      <c r="D24" s="36"/>
    </row>
    <row r="25" customFormat="false" ht="15" hidden="false" customHeight="false" outlineLevel="0" collapsed="false">
      <c r="B25" s="33"/>
      <c r="C25" s="35"/>
      <c r="D25" s="36"/>
    </row>
    <row r="26" customFormat="false" ht="15" hidden="false" customHeight="false" outlineLevel="0" collapsed="false">
      <c r="B26" s="33"/>
      <c r="C26" s="35"/>
      <c r="D26" s="36"/>
    </row>
    <row r="27" customFormat="false" ht="15" hidden="false" customHeight="false" outlineLevel="0" collapsed="false">
      <c r="B27" s="33"/>
      <c r="C27" s="35"/>
      <c r="D27" s="36"/>
    </row>
    <row r="28" customFormat="false" ht="15" hidden="false" customHeight="false" outlineLevel="0" collapsed="false">
      <c r="B28" s="33"/>
      <c r="C28" s="35"/>
      <c r="D28" s="36"/>
    </row>
    <row r="29" customFormat="false" ht="15" hidden="false" customHeight="false" outlineLevel="0" collapsed="false">
      <c r="B29" s="33"/>
      <c r="C29" s="35"/>
      <c r="D29" s="36"/>
    </row>
    <row r="30" customFormat="false" ht="15" hidden="false" customHeight="false" outlineLevel="0" collapsed="false">
      <c r="B30" s="33"/>
      <c r="C30" s="35"/>
      <c r="D30" s="36"/>
    </row>
    <row r="31" customFormat="false" ht="15" hidden="false" customHeight="false" outlineLevel="0" collapsed="false">
      <c r="B31" s="33"/>
      <c r="C31" s="35"/>
      <c r="D31" s="36"/>
    </row>
    <row r="32" customFormat="false" ht="15" hidden="false" customHeight="false" outlineLevel="0" collapsed="false">
      <c r="B32" s="33"/>
      <c r="C32" s="35"/>
      <c r="D32" s="36"/>
    </row>
    <row r="33" customFormat="false" ht="15" hidden="false" customHeight="false" outlineLevel="0" collapsed="false">
      <c r="B33" s="33"/>
      <c r="C33" s="35"/>
      <c r="D33" s="36"/>
    </row>
    <row r="34" customFormat="false" ht="15" hidden="false" customHeight="false" outlineLevel="0" collapsed="false">
      <c r="B34" s="33"/>
      <c r="C34" s="35"/>
      <c r="D34" s="36"/>
    </row>
    <row r="35" customFormat="false" ht="15" hidden="false" customHeight="false" outlineLevel="0" collapsed="false">
      <c r="B35" s="33"/>
      <c r="C35" s="35"/>
      <c r="D35" s="36"/>
    </row>
    <row r="36" customFormat="false" ht="15" hidden="false" customHeight="false" outlineLevel="0" collapsed="false">
      <c r="B36" s="33"/>
      <c r="C36" s="35"/>
      <c r="D36" s="36"/>
    </row>
    <row r="37" customFormat="false" ht="15" hidden="false" customHeight="false" outlineLevel="0" collapsed="false">
      <c r="B37" s="33"/>
      <c r="C37" s="35"/>
      <c r="D37" s="36"/>
    </row>
    <row r="38" customFormat="false" ht="15" hidden="false" customHeight="false" outlineLevel="0" collapsed="false">
      <c r="B38" s="33"/>
      <c r="C38" s="35"/>
      <c r="D38" s="36"/>
    </row>
    <row r="39" customFormat="false" ht="15" hidden="false" customHeight="false" outlineLevel="0" collapsed="false">
      <c r="B39" s="33"/>
      <c r="C39" s="35"/>
      <c r="D39" s="36"/>
    </row>
    <row r="40" customFormat="false" ht="15" hidden="false" customHeight="false" outlineLevel="0" collapsed="false">
      <c r="B40" s="33"/>
      <c r="C40" s="35"/>
      <c r="D40" s="36"/>
    </row>
    <row r="41" customFormat="false" ht="15" hidden="false" customHeight="false" outlineLevel="0" collapsed="false">
      <c r="B41" s="33"/>
      <c r="C41" s="35"/>
      <c r="D41" s="36"/>
    </row>
    <row r="42" customFormat="false" ht="15" hidden="false" customHeight="false" outlineLevel="0" collapsed="false">
      <c r="B42" s="33"/>
      <c r="C42" s="35"/>
      <c r="D42" s="36"/>
    </row>
    <row r="43" customFormat="false" ht="15" hidden="false" customHeight="false" outlineLevel="0" collapsed="false">
      <c r="B43" s="33"/>
      <c r="C43" s="35"/>
      <c r="D43" s="36"/>
    </row>
    <row r="44" customFormat="false" ht="15" hidden="false" customHeight="false" outlineLevel="0" collapsed="false">
      <c r="B44" s="33"/>
      <c r="C44" s="35"/>
      <c r="D44" s="36"/>
    </row>
    <row r="45" customFormat="false" ht="15" hidden="false" customHeight="false" outlineLevel="0" collapsed="false">
      <c r="C45" s="46" t="s">
        <v>225</v>
      </c>
      <c r="D45" s="45" t="n">
        <f aca="false">SUM(D5:D44)</f>
        <v>0</v>
      </c>
    </row>
  </sheetData>
  <mergeCells count="2">
    <mergeCell ref="B1:D1"/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7" min="4" style="1" width="16"/>
    <col collapsed="false" customWidth="true" hidden="false" outlineLevel="0" max="8" min="8" style="1" width="14"/>
  </cols>
  <sheetData>
    <row r="1" customFormat="false" ht="24" hidden="false" customHeight="true" outlineLevel="0" collapsed="false">
      <c r="B1" s="2" t="s">
        <v>226</v>
      </c>
      <c r="C1" s="2"/>
      <c r="D1" s="2"/>
      <c r="E1" s="2"/>
      <c r="F1" s="2"/>
      <c r="G1" s="2"/>
    </row>
    <row r="2" customFormat="false" ht="15" hidden="false" customHeight="false" outlineLevel="0" collapsed="false">
      <c r="B2" s="3" t="s">
        <v>227</v>
      </c>
      <c r="C2" s="3"/>
      <c r="D2" s="3"/>
      <c r="E2" s="3"/>
      <c r="F2" s="3"/>
      <c r="G2" s="3"/>
    </row>
    <row r="4" customFormat="false" ht="15" hidden="false" customHeight="false" outlineLevel="0" collapsed="false">
      <c r="B4" s="29" t="s">
        <v>228</v>
      </c>
    </row>
    <row r="5" customFormat="false" ht="15" hidden="false" customHeight="false" outlineLevel="0" collapsed="false">
      <c r="B5" s="43"/>
      <c r="C5" s="43" t="s">
        <v>229</v>
      </c>
      <c r="D5" s="43" t="s">
        <v>230</v>
      </c>
      <c r="E5" s="43" t="s">
        <v>231</v>
      </c>
      <c r="F5" s="43" t="s">
        <v>232</v>
      </c>
      <c r="G5" s="43" t="s">
        <v>233</v>
      </c>
    </row>
    <row r="6" customFormat="false" ht="15" hidden="false" customHeight="false" outlineLevel="0" collapsed="false">
      <c r="B6" s="9" t="s">
        <v>234</v>
      </c>
      <c r="C6" s="30" t="n">
        <v>0</v>
      </c>
      <c r="D6" s="25" t="n">
        <v>0</v>
      </c>
      <c r="E6" s="10" t="n">
        <f aca="false">C6*D6</f>
        <v>0</v>
      </c>
      <c r="F6" s="10" t="n">
        <f aca="false">E6*0.7</f>
        <v>0</v>
      </c>
      <c r="G6" s="10" t="n">
        <f aca="false">E6*0.3</f>
        <v>0</v>
      </c>
    </row>
    <row r="9" customFormat="false" ht="15" hidden="false" customHeight="false" outlineLevel="0" collapsed="false">
      <c r="B9" s="29" t="s">
        <v>235</v>
      </c>
    </row>
    <row r="10" customFormat="false" ht="15" hidden="false" customHeight="false" outlineLevel="0" collapsed="false">
      <c r="B10" s="43"/>
      <c r="C10" s="43" t="s">
        <v>229</v>
      </c>
      <c r="D10" s="43" t="s">
        <v>230</v>
      </c>
      <c r="E10" s="43" t="s">
        <v>231</v>
      </c>
      <c r="F10" s="43" t="s">
        <v>236</v>
      </c>
      <c r="G10" s="43" t="s">
        <v>237</v>
      </c>
      <c r="H10" s="43" t="s">
        <v>233</v>
      </c>
    </row>
    <row r="11" customFormat="false" ht="15" hidden="false" customHeight="false" outlineLevel="0" collapsed="false">
      <c r="B11" s="9" t="s">
        <v>238</v>
      </c>
      <c r="C11" s="30" t="n">
        <v>0</v>
      </c>
      <c r="D11" s="25" t="n">
        <v>0</v>
      </c>
      <c r="E11" s="10" t="n">
        <f aca="false">C11*D11</f>
        <v>0</v>
      </c>
      <c r="F11" s="10" t="n">
        <f aca="false">E11*0.5</f>
        <v>0</v>
      </c>
      <c r="G11" s="10" t="n">
        <f aca="false">E11*0.2</f>
        <v>0</v>
      </c>
      <c r="H11" s="10" t="n">
        <f aca="false">E11*0.3</f>
        <v>0</v>
      </c>
    </row>
    <row r="14" customFormat="false" ht="15" hidden="false" customHeight="false" outlineLevel="0" collapsed="false">
      <c r="B14" s="29" t="s">
        <v>239</v>
      </c>
    </row>
    <row r="15" customFormat="false" ht="15" hidden="false" customHeight="false" outlineLevel="0" collapsed="false">
      <c r="B15" s="15" t="s">
        <v>240</v>
      </c>
      <c r="C15" s="47" t="n">
        <f aca="false">G6+H11</f>
        <v>0</v>
      </c>
    </row>
    <row r="16" customFormat="false" ht="15" hidden="false" customHeight="false" outlineLevel="0" collapsed="false">
      <c r="B16" s="9" t="s">
        <v>241</v>
      </c>
      <c r="C16" s="37" t="n">
        <f aca="false">F6</f>
        <v>0</v>
      </c>
    </row>
    <row r="17" customFormat="false" ht="15" hidden="false" customHeight="false" outlineLevel="0" collapsed="false">
      <c r="B17" s="9" t="s">
        <v>242</v>
      </c>
      <c r="C17" s="37" t="n">
        <f aca="false">F11</f>
        <v>0</v>
      </c>
    </row>
    <row r="18" customFormat="false" ht="15" hidden="false" customHeight="false" outlineLevel="0" collapsed="false">
      <c r="B18" s="9" t="s">
        <v>243</v>
      </c>
      <c r="C18" s="37" t="n">
        <f aca="false">G11</f>
        <v>0</v>
      </c>
    </row>
    <row r="20" customFormat="false" ht="15" hidden="false" customHeight="true" outlineLevel="0" collapsed="false">
      <c r="B20" s="48" t="s">
        <v>244</v>
      </c>
      <c r="C20" s="48"/>
      <c r="D20" s="48"/>
      <c r="E20" s="48"/>
      <c r="F20" s="48"/>
      <c r="G20" s="48"/>
      <c r="H20" s="48"/>
    </row>
    <row r="21" customFormat="false" ht="15" hidden="false" customHeight="false" outlineLevel="0" collapsed="false">
      <c r="B21" s="48"/>
      <c r="C21" s="48"/>
      <c r="D21" s="48"/>
      <c r="E21" s="48"/>
      <c r="F21" s="48"/>
      <c r="G21" s="48"/>
      <c r="H21" s="48"/>
    </row>
  </sheetData>
  <mergeCells count="3">
    <mergeCell ref="B1:G1"/>
    <mergeCell ref="B2:G2"/>
    <mergeCell ref="B20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2026-06-25T03:16:34Z</dcterms:created>
  <dc:creator>openpyxl</dc:creator>
  <dc:description/>
  <dc:language>en-US</dc:language>
  <cp:lastModifiedBy/>
  <dcterms:modified xsi:type="dcterms:W3CDTF">2026-06-25T03:38:59Z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